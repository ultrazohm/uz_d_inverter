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ltraZohm\uz_d_inverter\"/>
    </mc:Choice>
  </mc:AlternateContent>
  <xr:revisionPtr revIDLastSave="0" documentId="13_ncr:1_{00C2A598-B7BC-4C18-A492-4A059A531ADD}" xr6:coauthVersionLast="47" xr6:coauthVersionMax="47" xr10:uidLastSave="{00000000-0000-0000-0000-000000000000}"/>
  <bookViews>
    <workbookView xWindow="-108" yWindow="-108" windowWidth="30936" windowHeight="16896" xr2:uid="{4EDDE04E-DF36-49B2-99B2-7DAB17E876F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H50" i="1" s="1"/>
  <c r="G51" i="1"/>
  <c r="H51" i="1"/>
  <c r="H22" i="1"/>
  <c r="H31" i="1"/>
  <c r="H38" i="1"/>
  <c r="H5" i="1"/>
  <c r="H6" i="1"/>
  <c r="H7" i="1"/>
  <c r="G54" i="1"/>
  <c r="G6" i="1"/>
  <c r="G7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H54" i="1" l="1"/>
</calcChain>
</file>

<file path=xl/sharedStrings.xml><?xml version="1.0" encoding="utf-8"?>
<sst xmlns="http://schemas.openxmlformats.org/spreadsheetml/2006/main" count="153" uniqueCount="98">
  <si>
    <t>Bauteilnummer</t>
  </si>
  <si>
    <t>Anzahl pro Board</t>
  </si>
  <si>
    <t>Anzahl insgesamt</t>
  </si>
  <si>
    <t>Kommentar</t>
  </si>
  <si>
    <t>581-1206DD106MAT2A</t>
  </si>
  <si>
    <t>80-C0603C105K3RLR</t>
  </si>
  <si>
    <t>80-C0603C104J3RE7411</t>
  </si>
  <si>
    <t>187-CL10C560JB8NNNC</t>
  </si>
  <si>
    <t>80-C0805C472F1GEAULR</t>
  </si>
  <si>
    <t>80-C0805C332F1G</t>
  </si>
  <si>
    <t>80-C0805C103K3R</t>
  </si>
  <si>
    <t>80-C603C104K5RAC3121</t>
  </si>
  <si>
    <t>710-885012206065</t>
  </si>
  <si>
    <t>667-EEV-FK2A470V</t>
  </si>
  <si>
    <t>810-C2012X7R475K125C</t>
  </si>
  <si>
    <t>810-C1608X5R1E225K</t>
  </si>
  <si>
    <t>187-CL10B473KB8NNNC</t>
  </si>
  <si>
    <t>710-150060BS84000</t>
  </si>
  <si>
    <t>710-150060GS84000</t>
  </si>
  <si>
    <t>710-150060RS86000</t>
  </si>
  <si>
    <t>595-REF4132B25DBVRQ1</t>
  </si>
  <si>
    <t>595-LMP8481MM-T/NOPB</t>
  </si>
  <si>
    <t>584-ADA4940-1ARZ</t>
  </si>
  <si>
    <t>926-LM57CISD-10/NOPB</t>
  </si>
  <si>
    <t>584-6992HS64WTRMPBF</t>
  </si>
  <si>
    <t>595-INA185A1IDRLR</t>
  </si>
  <si>
    <t>595-SN74LVC2G14DBVT</t>
  </si>
  <si>
    <t>710-634008149821</t>
  </si>
  <si>
    <t>571-4-103327-3</t>
  </si>
  <si>
    <t>81-LQM18DN6R8M70L</t>
  </si>
  <si>
    <t>490-PDSE1-S24-S12MTR</t>
  </si>
  <si>
    <t>603-RC0603JR-070RL</t>
  </si>
  <si>
    <t>660-RK73B1JTTD201J</t>
  </si>
  <si>
    <t>660-RK73B1JTTD101J</t>
  </si>
  <si>
    <t>603-PU3921FKMP50R002</t>
  </si>
  <si>
    <t>660-RK73H1JTTD49R9F</t>
  </si>
  <si>
    <t>603-RT0603BRD0751R1L</t>
  </si>
  <si>
    <t>603-RT0603BRD0725R2L</t>
  </si>
  <si>
    <t>279-RQ73C1J10KBTD</t>
  </si>
  <si>
    <t>279-RQ73C1J110KBTD</t>
  </si>
  <si>
    <t>660-RK73B1JTTD103J</t>
  </si>
  <si>
    <t>660-RK73B1JTTD203J</t>
  </si>
  <si>
    <t>652-CR0603-FX1053ELF</t>
  </si>
  <si>
    <t>652-CR0603-FX2803ELF</t>
  </si>
  <si>
    <t>667-ERJ-6ENF2873V</t>
  </si>
  <si>
    <t>652-CR0603FX-9763ELF</t>
  </si>
  <si>
    <t>652-CR0603FX-1823ELF</t>
  </si>
  <si>
    <t>660-RK73B1JTTD100J</t>
  </si>
  <si>
    <t>594-MMA02040E1009DB3</t>
  </si>
  <si>
    <t>Beschreibung</t>
  </si>
  <si>
    <t>660-RK73B1JTTDD102J</t>
  </si>
  <si>
    <t>660-RK73B1JTTDD202J</t>
  </si>
  <si>
    <t>Capacitor 1206, 35 VDC, 10 µF, X5R</t>
  </si>
  <si>
    <t>Capacitor 0603, 25 VDC, 1 µF, X7R</t>
  </si>
  <si>
    <t>Capacitor 0603, 25 VDC, 0.1 µF, X7R</t>
  </si>
  <si>
    <t>Capacitor 0603, 50 VDC, 56 pF, C0G</t>
  </si>
  <si>
    <t>Capacitor 0805, 100 VDC, 4.7 nF, C0G</t>
  </si>
  <si>
    <t>Capacitor 0805, 100 VDC, 3.3 nF, C0G</t>
  </si>
  <si>
    <t>Capacitor 0805, 25 VDC, 0.01 µF, X7R</t>
  </si>
  <si>
    <t>Capacitor 0603, 50 VDC, 100nF, X7R</t>
  </si>
  <si>
    <t>Capacitor 0603, 25 VDC, 10 nF, X7R</t>
  </si>
  <si>
    <t>13.8 x 12.5 x 3.8mm, 100 VDC, 47µF</t>
  </si>
  <si>
    <t>Capacitor 0805, 50 VDC, 4.7 µF, X7R</t>
  </si>
  <si>
    <t>Capacitor 0603, 25 VDC, 2.2 uF, X5R</t>
  </si>
  <si>
    <t>Capacitor 0603, 50 VDC, 47 nF, X7R</t>
  </si>
  <si>
    <t>WL-SMCW SMD Mono-color Chip LED Waterclear Blue</t>
  </si>
  <si>
    <t>WL-SMCW SMD Mono-color Chip LED Waterclear Green</t>
  </si>
  <si>
    <t>WL-SMCW SMD Mono-color Chip LED Waterclear Red</t>
  </si>
  <si>
    <t>Voltage Reference, 2.5V, ±0.05%, ±10mA</t>
  </si>
  <si>
    <t>Current Sense Amplifier, 4-76 V  CMV, 20 V/V, bidirectional</t>
  </si>
  <si>
    <t>Fully Differential Amplifier, Ultralow-Power,Low Distortion, 260-MHz</t>
  </si>
  <si>
    <t>Board Mount Temperature Sensor, -50 - 150°C</t>
  </si>
  <si>
    <t>Switching Controllers PWM with 5% to 100% Pulse Width Control</t>
  </si>
  <si>
    <t>Current Sense Amplifier, 0-26 V  CMV, 20 V/V, bidirectional</t>
  </si>
  <si>
    <t>Dual Schmitt Trigger Inverter</t>
  </si>
  <si>
    <t>CAT5, RJ45 Connector, 1 port SMD</t>
  </si>
  <si>
    <t>Pin Header, 2.54mm, 1 Pin</t>
  </si>
  <si>
    <t>6.8µH, 120mA, 0603, 740mOhm, 20%</t>
  </si>
  <si>
    <t>Isolated, 21.6 -26.4Vin, 12V out, 1W, 84mA out</t>
  </si>
  <si>
    <t>SMD resistor E24 series</t>
  </si>
  <si>
    <t>SMD resistor E24 series, SMD resistor 0.1%</t>
  </si>
  <si>
    <t>Shunt resistor 2mOhm, 5W, 1%</t>
  </si>
  <si>
    <t>SMD resistor 1%</t>
  </si>
  <si>
    <t>SMD resistor 0.1%</t>
  </si>
  <si>
    <t>SMD resistor 0.1%, 10ppm</t>
  </si>
  <si>
    <t>SMD resistor 1%, 50V, 100ppm</t>
  </si>
  <si>
    <t>SMD resistor 1%,150 V, 100ppm</t>
  </si>
  <si>
    <t>SMD MELF resistor, 0.5%, 200V, 15ppm</t>
  </si>
  <si>
    <t>Anzahl Boards</t>
  </si>
  <si>
    <t xml:space="preserve">1500 Stück sind ab Oktober verfügbar. Vorbestellen den Artikel dann. </t>
  </si>
  <si>
    <t>Kosten pro Bauteil:</t>
  </si>
  <si>
    <t>Preis pro Board</t>
  </si>
  <si>
    <t>Kosten pro Board:</t>
  </si>
  <si>
    <t>Preis insgesamt</t>
  </si>
  <si>
    <t>Bestellliste bei Mouser</t>
  </si>
  <si>
    <t>Eingetroffen:</t>
  </si>
  <si>
    <t>JA</t>
  </si>
  <si>
    <t>Wurden ausversehen 240 bestellt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</si>
</sst>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9">
    <xf numFmtId="0" fontId="0" fillId="0" borderId="0" xfId="0"/>
    <xf numFmtId="0" fontId="0" fillId="0" borderId="1" xfId="0" quotePrefix="1" applyBorder="1"/>
    <xf numFmtId="0" fontId="0" fillId="0" borderId="1" xfId="0" applyBorder="1"/>
    <xf numFmtId="0" fontId="0" fillId="3" borderId="1" xfId="0" applyFill="1" applyBorder="1"/>
    <xf numFmtId="164" fontId="0" fillId="0" borderId="0" xfId="0" applyNumberFormat="1"/>
    <xf numFmtId="164" fontId="3" fillId="2" borderId="0" xfId="1" applyNumberFormat="1" applyFont="1"/>
    <xf numFmtId="0" fontId="2" fillId="0" borderId="0" xfId="0" applyFont="1"/>
    <xf numFmtId="0" fontId="4" fillId="4" borderId="0" xfId="2"/>
    <xf numFmtId="0" fontId="5" fillId="5" borderId="0" xfId="3"/>
  </cellXfs>
  <cellStyles count="4">
    <cellStyle name="40 % - Akzent6" xfId="1" builtinId="51"/>
    <cellStyle name="Gut" xfId="2" builtinId="26"/>
    <cellStyle name="Neutral" xfId="3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0089-E156-4B91-8493-C06DF09A69AD}">
  <dimension ref="A1:I54"/>
  <sheetViews>
    <sheetView tabSelected="1" workbookViewId="0">
      <selection activeCell="I27" sqref="I27"/>
    </sheetView>
  </sheetViews>
  <sheetFormatPr baseColWidth="10" defaultRowHeight="14.4" x14ac:dyDescent="0.3"/>
  <cols>
    <col min="1" max="1" width="26.109375" customWidth="1"/>
    <col min="2" max="2" width="56.88671875" customWidth="1"/>
    <col min="3" max="3" width="20.88671875" customWidth="1"/>
    <col min="4" max="4" width="16.33203125" customWidth="1"/>
    <col min="5" max="5" width="42.21875" customWidth="1"/>
    <col min="6" max="6" width="17.5546875" customWidth="1"/>
    <col min="7" max="7" width="23" customWidth="1"/>
    <col min="8" max="8" width="23.21875" customWidth="1"/>
  </cols>
  <sheetData>
    <row r="1" spans="1:9" x14ac:dyDescent="0.3">
      <c r="A1" s="6" t="s">
        <v>94</v>
      </c>
    </row>
    <row r="2" spans="1:9" x14ac:dyDescent="0.3">
      <c r="D2" t="s">
        <v>88</v>
      </c>
    </row>
    <row r="3" spans="1:9" x14ac:dyDescent="0.3">
      <c r="D3">
        <v>15</v>
      </c>
    </row>
    <row r="4" spans="1:9" x14ac:dyDescent="0.3">
      <c r="A4" t="s">
        <v>0</v>
      </c>
      <c r="B4" t="s">
        <v>49</v>
      </c>
      <c r="C4" t="s">
        <v>1</v>
      </c>
      <c r="D4" t="s">
        <v>2</v>
      </c>
      <c r="E4" t="s">
        <v>3</v>
      </c>
      <c r="F4" t="s">
        <v>90</v>
      </c>
      <c r="G4" t="s">
        <v>92</v>
      </c>
      <c r="I4" t="s">
        <v>95</v>
      </c>
    </row>
    <row r="5" spans="1:9" x14ac:dyDescent="0.3">
      <c r="A5" s="1" t="s">
        <v>4</v>
      </c>
      <c r="B5" s="1" t="s">
        <v>52</v>
      </c>
      <c r="C5" s="2">
        <v>1</v>
      </c>
      <c r="D5" s="3">
        <f t="shared" ref="D5:D51" si="0">C5*$D$3</f>
        <v>15</v>
      </c>
      <c r="F5" s="4">
        <v>0.28999999999999998</v>
      </c>
      <c r="G5" s="4">
        <f>F5*C5</f>
        <v>0.28999999999999998</v>
      </c>
      <c r="H5" s="4">
        <f t="shared" ref="H5:H6" si="1">G5*$D$3</f>
        <v>4.3499999999999996</v>
      </c>
      <c r="I5" s="7" t="s">
        <v>96</v>
      </c>
    </row>
    <row r="6" spans="1:9" x14ac:dyDescent="0.3">
      <c r="A6" s="1" t="s">
        <v>5</v>
      </c>
      <c r="B6" s="1" t="s">
        <v>53</v>
      </c>
      <c r="C6" s="2">
        <v>1</v>
      </c>
      <c r="D6" s="3">
        <f t="shared" si="0"/>
        <v>15</v>
      </c>
      <c r="F6" s="4">
        <v>0.28000000000000003</v>
      </c>
      <c r="G6" s="4">
        <f t="shared" ref="G6:G49" si="2">F6*C6</f>
        <v>0.28000000000000003</v>
      </c>
      <c r="H6" s="4">
        <f t="shared" si="1"/>
        <v>4.2</v>
      </c>
      <c r="I6" s="7" t="s">
        <v>96</v>
      </c>
    </row>
    <row r="7" spans="1:9" x14ac:dyDescent="0.3">
      <c r="A7" s="1" t="s">
        <v>6</v>
      </c>
      <c r="B7" s="1" t="s">
        <v>54</v>
      </c>
      <c r="C7" s="2">
        <v>17</v>
      </c>
      <c r="D7" s="3">
        <f t="shared" si="0"/>
        <v>255</v>
      </c>
      <c r="F7" s="4">
        <v>0.26</v>
      </c>
      <c r="G7" s="4">
        <f t="shared" si="2"/>
        <v>4.42</v>
      </c>
      <c r="H7" s="4">
        <f>G7*$D$3</f>
        <v>66.3</v>
      </c>
      <c r="I7" s="7" t="s">
        <v>96</v>
      </c>
    </row>
    <row r="8" spans="1:9" x14ac:dyDescent="0.3">
      <c r="A8" s="1" t="s">
        <v>7</v>
      </c>
      <c r="B8" s="1" t="s">
        <v>55</v>
      </c>
      <c r="C8" s="2">
        <v>16</v>
      </c>
      <c r="D8" s="3">
        <f t="shared" si="0"/>
        <v>240</v>
      </c>
      <c r="F8" s="4">
        <v>0.1</v>
      </c>
      <c r="G8" s="4">
        <f t="shared" si="2"/>
        <v>1.6</v>
      </c>
      <c r="H8" s="4">
        <f t="shared" ref="H8:H49" si="3">G8*$D$3</f>
        <v>24</v>
      </c>
      <c r="I8" s="7" t="s">
        <v>96</v>
      </c>
    </row>
    <row r="9" spans="1:9" x14ac:dyDescent="0.3">
      <c r="A9" s="1" t="s">
        <v>8</v>
      </c>
      <c r="B9" s="1" t="s">
        <v>56</v>
      </c>
      <c r="C9" s="2">
        <v>4</v>
      </c>
      <c r="D9" s="3">
        <f t="shared" si="0"/>
        <v>60</v>
      </c>
      <c r="F9" s="4">
        <v>1.39</v>
      </c>
      <c r="G9" s="4">
        <f t="shared" si="2"/>
        <v>5.56</v>
      </c>
      <c r="H9" s="4">
        <f t="shared" si="3"/>
        <v>83.399999999999991</v>
      </c>
      <c r="I9" s="7" t="s">
        <v>96</v>
      </c>
    </row>
    <row r="10" spans="1:9" x14ac:dyDescent="0.3">
      <c r="A10" s="1" t="s">
        <v>9</v>
      </c>
      <c r="B10" s="1" t="s">
        <v>57</v>
      </c>
      <c r="C10" s="2">
        <v>4</v>
      </c>
      <c r="D10" s="3">
        <f t="shared" si="0"/>
        <v>60</v>
      </c>
      <c r="F10" s="4">
        <v>2.64</v>
      </c>
      <c r="G10" s="4">
        <f t="shared" si="2"/>
        <v>10.56</v>
      </c>
      <c r="H10" s="4">
        <f t="shared" si="3"/>
        <v>158.4</v>
      </c>
      <c r="I10" s="7" t="s">
        <v>96</v>
      </c>
    </row>
    <row r="11" spans="1:9" x14ac:dyDescent="0.3">
      <c r="A11" s="1" t="s">
        <v>10</v>
      </c>
      <c r="B11" s="1" t="s">
        <v>58</v>
      </c>
      <c r="C11" s="2">
        <v>6</v>
      </c>
      <c r="D11" s="3">
        <f t="shared" si="0"/>
        <v>90</v>
      </c>
      <c r="F11" s="4">
        <v>0.23</v>
      </c>
      <c r="G11" s="4">
        <f t="shared" si="2"/>
        <v>1.3800000000000001</v>
      </c>
      <c r="H11" s="4">
        <f t="shared" si="3"/>
        <v>20.700000000000003</v>
      </c>
      <c r="I11" s="7" t="s">
        <v>96</v>
      </c>
    </row>
    <row r="12" spans="1:9" x14ac:dyDescent="0.3">
      <c r="A12" s="1" t="s">
        <v>11</v>
      </c>
      <c r="B12" s="1" t="s">
        <v>59</v>
      </c>
      <c r="C12" s="2">
        <v>16</v>
      </c>
      <c r="D12" s="3">
        <f t="shared" si="0"/>
        <v>240</v>
      </c>
      <c r="F12" s="4">
        <v>0.13</v>
      </c>
      <c r="G12" s="4">
        <f t="shared" si="2"/>
        <v>2.08</v>
      </c>
      <c r="H12" s="4">
        <f t="shared" si="3"/>
        <v>31.200000000000003</v>
      </c>
      <c r="I12" s="7" t="s">
        <v>96</v>
      </c>
    </row>
    <row r="13" spans="1:9" x14ac:dyDescent="0.3">
      <c r="A13" s="1" t="s">
        <v>12</v>
      </c>
      <c r="B13" s="1" t="s">
        <v>60</v>
      </c>
      <c r="C13" s="2">
        <v>7</v>
      </c>
      <c r="D13" s="3">
        <f t="shared" si="0"/>
        <v>105</v>
      </c>
      <c r="E13" s="8" t="s">
        <v>97</v>
      </c>
      <c r="F13" s="4">
        <v>0.1</v>
      </c>
      <c r="G13" s="4">
        <f t="shared" si="2"/>
        <v>0.70000000000000007</v>
      </c>
      <c r="H13" s="4">
        <f t="shared" si="3"/>
        <v>10.500000000000002</v>
      </c>
      <c r="I13" s="7" t="s">
        <v>96</v>
      </c>
    </row>
    <row r="14" spans="1:9" x14ac:dyDescent="0.3">
      <c r="A14" s="1" t="s">
        <v>13</v>
      </c>
      <c r="B14" s="1" t="s">
        <v>61</v>
      </c>
      <c r="C14" s="2">
        <v>10</v>
      </c>
      <c r="D14" s="3">
        <f t="shared" si="0"/>
        <v>150</v>
      </c>
      <c r="F14" s="4">
        <v>2.94</v>
      </c>
      <c r="G14" s="4">
        <f t="shared" si="2"/>
        <v>29.4</v>
      </c>
      <c r="H14" s="4">
        <f t="shared" si="3"/>
        <v>441</v>
      </c>
      <c r="I14" s="7" t="s">
        <v>96</v>
      </c>
    </row>
    <row r="15" spans="1:9" x14ac:dyDescent="0.3">
      <c r="A15" s="1" t="s">
        <v>14</v>
      </c>
      <c r="B15" s="1" t="s">
        <v>62</v>
      </c>
      <c r="C15" s="2">
        <v>12</v>
      </c>
      <c r="D15" s="3">
        <f t="shared" si="0"/>
        <v>180</v>
      </c>
      <c r="F15" s="4">
        <v>0.56999999999999995</v>
      </c>
      <c r="G15" s="4">
        <f t="shared" si="2"/>
        <v>6.84</v>
      </c>
      <c r="H15" s="4">
        <f t="shared" si="3"/>
        <v>102.6</v>
      </c>
      <c r="I15" s="7" t="s">
        <v>96</v>
      </c>
    </row>
    <row r="16" spans="1:9" x14ac:dyDescent="0.3">
      <c r="A16" s="1" t="s">
        <v>15</v>
      </c>
      <c r="B16" s="1" t="s">
        <v>63</v>
      </c>
      <c r="C16" s="2">
        <v>6</v>
      </c>
      <c r="D16" s="3">
        <f t="shared" si="0"/>
        <v>90</v>
      </c>
      <c r="F16" s="4">
        <v>0.19</v>
      </c>
      <c r="G16" s="4">
        <f t="shared" si="2"/>
        <v>1.1400000000000001</v>
      </c>
      <c r="H16" s="4">
        <f t="shared" si="3"/>
        <v>17.100000000000001</v>
      </c>
      <c r="I16" s="7" t="s">
        <v>96</v>
      </c>
    </row>
    <row r="17" spans="1:9" x14ac:dyDescent="0.3">
      <c r="A17" s="1" t="s">
        <v>16</v>
      </c>
      <c r="B17" s="1" t="s">
        <v>64</v>
      </c>
      <c r="C17" s="2">
        <v>18</v>
      </c>
      <c r="D17" s="3">
        <f t="shared" si="0"/>
        <v>270</v>
      </c>
      <c r="F17" s="4">
        <v>0.1</v>
      </c>
      <c r="G17" s="4">
        <f t="shared" si="2"/>
        <v>1.8</v>
      </c>
      <c r="H17" s="4">
        <f t="shared" si="3"/>
        <v>27</v>
      </c>
      <c r="I17" s="7" t="s">
        <v>96</v>
      </c>
    </row>
    <row r="18" spans="1:9" x14ac:dyDescent="0.3">
      <c r="A18" s="1" t="s">
        <v>17</v>
      </c>
      <c r="B18" s="1" t="s">
        <v>65</v>
      </c>
      <c r="C18" s="2">
        <v>1</v>
      </c>
      <c r="D18" s="3">
        <f t="shared" si="0"/>
        <v>15</v>
      </c>
      <c r="F18" s="4">
        <v>0.45</v>
      </c>
      <c r="G18" s="4">
        <f t="shared" si="2"/>
        <v>0.45</v>
      </c>
      <c r="H18" s="4">
        <f t="shared" si="3"/>
        <v>6.75</v>
      </c>
      <c r="I18" s="7" t="s">
        <v>96</v>
      </c>
    </row>
    <row r="19" spans="1:9" x14ac:dyDescent="0.3">
      <c r="A19" s="1" t="s">
        <v>18</v>
      </c>
      <c r="B19" s="1" t="s">
        <v>66</v>
      </c>
      <c r="C19" s="2">
        <v>1</v>
      </c>
      <c r="D19" s="3">
        <f t="shared" si="0"/>
        <v>15</v>
      </c>
      <c r="F19" s="4">
        <v>0.45</v>
      </c>
      <c r="G19" s="4">
        <f t="shared" si="2"/>
        <v>0.45</v>
      </c>
      <c r="H19" s="4">
        <f t="shared" si="3"/>
        <v>6.75</v>
      </c>
      <c r="I19" s="7" t="s">
        <v>96</v>
      </c>
    </row>
    <row r="20" spans="1:9" x14ac:dyDescent="0.3">
      <c r="A20" s="1" t="s">
        <v>19</v>
      </c>
      <c r="B20" s="1" t="s">
        <v>67</v>
      </c>
      <c r="C20" s="2">
        <v>1</v>
      </c>
      <c r="D20" s="3">
        <f t="shared" si="0"/>
        <v>15</v>
      </c>
      <c r="F20" s="4">
        <v>0.45</v>
      </c>
      <c r="G20" s="4">
        <f t="shared" si="2"/>
        <v>0.45</v>
      </c>
      <c r="H20" s="4">
        <f t="shared" si="3"/>
        <v>6.75</v>
      </c>
      <c r="I20" s="7" t="s">
        <v>96</v>
      </c>
    </row>
    <row r="21" spans="1:9" x14ac:dyDescent="0.3">
      <c r="A21" s="1" t="s">
        <v>20</v>
      </c>
      <c r="B21" s="1" t="s">
        <v>68</v>
      </c>
      <c r="C21" s="2">
        <v>1</v>
      </c>
      <c r="D21" s="3">
        <f t="shared" si="0"/>
        <v>15</v>
      </c>
      <c r="F21" s="4">
        <v>3.72</v>
      </c>
      <c r="G21" s="4">
        <f t="shared" si="2"/>
        <v>3.72</v>
      </c>
      <c r="H21" s="4">
        <f t="shared" si="3"/>
        <v>55.800000000000004</v>
      </c>
      <c r="I21" s="7" t="s">
        <v>96</v>
      </c>
    </row>
    <row r="22" spans="1:9" x14ac:dyDescent="0.3">
      <c r="A22" s="1" t="s">
        <v>21</v>
      </c>
      <c r="B22" s="1" t="s">
        <v>69</v>
      </c>
      <c r="C22" s="2">
        <v>3</v>
      </c>
      <c r="D22" s="3">
        <f t="shared" si="0"/>
        <v>45</v>
      </c>
      <c r="F22" s="4">
        <v>3.57</v>
      </c>
      <c r="G22" s="4">
        <f t="shared" si="2"/>
        <v>10.709999999999999</v>
      </c>
      <c r="H22" s="4">
        <f t="shared" si="3"/>
        <v>160.64999999999998</v>
      </c>
      <c r="I22" s="7" t="s">
        <v>96</v>
      </c>
    </row>
    <row r="23" spans="1:9" x14ac:dyDescent="0.3">
      <c r="A23" s="1" t="s">
        <v>22</v>
      </c>
      <c r="B23" s="1" t="s">
        <v>70</v>
      </c>
      <c r="C23" s="2">
        <v>8</v>
      </c>
      <c r="D23" s="3">
        <f t="shared" si="0"/>
        <v>120</v>
      </c>
      <c r="F23" s="4">
        <v>5.14</v>
      </c>
      <c r="G23" s="4">
        <f t="shared" si="2"/>
        <v>41.12</v>
      </c>
      <c r="H23" s="4">
        <f t="shared" si="3"/>
        <v>616.79999999999995</v>
      </c>
      <c r="I23" s="7" t="s">
        <v>96</v>
      </c>
    </row>
    <row r="24" spans="1:9" x14ac:dyDescent="0.3">
      <c r="A24" s="1" t="s">
        <v>23</v>
      </c>
      <c r="B24" s="1" t="s">
        <v>71</v>
      </c>
      <c r="C24" s="2">
        <v>6</v>
      </c>
      <c r="D24" s="3">
        <f t="shared" si="0"/>
        <v>90</v>
      </c>
      <c r="F24" s="4">
        <v>2.76</v>
      </c>
      <c r="G24" s="4">
        <f t="shared" si="2"/>
        <v>16.559999999999999</v>
      </c>
      <c r="H24" s="4">
        <f t="shared" si="3"/>
        <v>248.39999999999998</v>
      </c>
      <c r="I24" s="7" t="s">
        <v>96</v>
      </c>
    </row>
    <row r="25" spans="1:9" x14ac:dyDescent="0.3">
      <c r="A25" s="1" t="s">
        <v>24</v>
      </c>
      <c r="B25" s="1" t="s">
        <v>72</v>
      </c>
      <c r="C25" s="2">
        <v>6</v>
      </c>
      <c r="D25" s="3">
        <f t="shared" si="0"/>
        <v>90</v>
      </c>
      <c r="E25" t="s">
        <v>89</v>
      </c>
      <c r="F25" s="4">
        <v>6.81</v>
      </c>
      <c r="G25" s="4">
        <f t="shared" si="2"/>
        <v>40.86</v>
      </c>
      <c r="H25" s="4">
        <f t="shared" si="3"/>
        <v>612.9</v>
      </c>
    </row>
    <row r="26" spans="1:9" x14ac:dyDescent="0.3">
      <c r="A26" s="1" t="s">
        <v>25</v>
      </c>
      <c r="B26" s="1" t="s">
        <v>73</v>
      </c>
      <c r="C26" s="2">
        <v>1</v>
      </c>
      <c r="D26" s="3">
        <f t="shared" si="0"/>
        <v>15</v>
      </c>
      <c r="F26" s="4">
        <v>1.61</v>
      </c>
      <c r="G26" s="4">
        <f t="shared" si="2"/>
        <v>1.61</v>
      </c>
      <c r="H26" s="4">
        <f t="shared" si="3"/>
        <v>24.150000000000002</v>
      </c>
      <c r="I26" s="7" t="s">
        <v>96</v>
      </c>
    </row>
    <row r="27" spans="1:9" x14ac:dyDescent="0.3">
      <c r="A27" s="1" t="s">
        <v>26</v>
      </c>
      <c r="B27" s="1" t="s">
        <v>74</v>
      </c>
      <c r="C27" s="2">
        <v>1</v>
      </c>
      <c r="D27" s="3">
        <f t="shared" si="0"/>
        <v>15</v>
      </c>
      <c r="F27" s="4">
        <v>1.32</v>
      </c>
      <c r="G27" s="4">
        <f t="shared" si="2"/>
        <v>1.32</v>
      </c>
      <c r="H27" s="4">
        <f t="shared" si="3"/>
        <v>19.8</v>
      </c>
    </row>
    <row r="28" spans="1:9" x14ac:dyDescent="0.3">
      <c r="A28" s="1" t="s">
        <v>27</v>
      </c>
      <c r="B28" s="1" t="s">
        <v>75</v>
      </c>
      <c r="C28" s="2">
        <v>2</v>
      </c>
      <c r="D28" s="3">
        <f t="shared" si="0"/>
        <v>30</v>
      </c>
      <c r="F28" s="4">
        <v>8.2200000000000006</v>
      </c>
      <c r="G28" s="4">
        <f t="shared" si="2"/>
        <v>16.440000000000001</v>
      </c>
      <c r="H28" s="4">
        <f t="shared" si="3"/>
        <v>246.60000000000002</v>
      </c>
      <c r="I28" s="7" t="s">
        <v>96</v>
      </c>
    </row>
    <row r="29" spans="1:9" x14ac:dyDescent="0.3">
      <c r="A29" s="1" t="s">
        <v>28</v>
      </c>
      <c r="B29" s="1" t="s">
        <v>76</v>
      </c>
      <c r="C29" s="2">
        <v>6</v>
      </c>
      <c r="D29" s="3">
        <f t="shared" si="0"/>
        <v>90</v>
      </c>
      <c r="F29" s="4">
        <v>0.25</v>
      </c>
      <c r="G29" s="4">
        <f t="shared" si="2"/>
        <v>1.5</v>
      </c>
      <c r="H29" s="4">
        <f t="shared" si="3"/>
        <v>22.5</v>
      </c>
      <c r="I29" s="7" t="s">
        <v>96</v>
      </c>
    </row>
    <row r="30" spans="1:9" x14ac:dyDescent="0.3">
      <c r="A30" s="1" t="s">
        <v>29</v>
      </c>
      <c r="B30" s="1" t="s">
        <v>77</v>
      </c>
      <c r="C30" s="2">
        <v>6</v>
      </c>
      <c r="D30" s="3">
        <f t="shared" si="0"/>
        <v>90</v>
      </c>
      <c r="F30" s="4">
        <v>0.14000000000000001</v>
      </c>
      <c r="G30" s="4">
        <f t="shared" si="2"/>
        <v>0.84000000000000008</v>
      </c>
      <c r="H30" s="4">
        <f t="shared" si="3"/>
        <v>12.600000000000001</v>
      </c>
      <c r="I30" s="7" t="s">
        <v>96</v>
      </c>
    </row>
    <row r="31" spans="1:9" x14ac:dyDescent="0.3">
      <c r="A31" s="1" t="s">
        <v>30</v>
      </c>
      <c r="B31" s="1" t="s">
        <v>78</v>
      </c>
      <c r="C31" s="2">
        <v>6</v>
      </c>
      <c r="D31" s="3">
        <f t="shared" si="0"/>
        <v>90</v>
      </c>
      <c r="F31" s="4">
        <v>3.67</v>
      </c>
      <c r="G31" s="4">
        <f t="shared" si="2"/>
        <v>22.02</v>
      </c>
      <c r="H31" s="4">
        <f t="shared" si="3"/>
        <v>330.3</v>
      </c>
      <c r="I31" s="7" t="s">
        <v>96</v>
      </c>
    </row>
    <row r="32" spans="1:9" x14ac:dyDescent="0.3">
      <c r="A32" s="1" t="s">
        <v>31</v>
      </c>
      <c r="B32" s="1" t="s">
        <v>79</v>
      </c>
      <c r="C32" s="2">
        <v>3</v>
      </c>
      <c r="D32" s="3">
        <f t="shared" si="0"/>
        <v>45</v>
      </c>
      <c r="F32" s="4">
        <v>0.1</v>
      </c>
      <c r="G32" s="4">
        <f t="shared" si="2"/>
        <v>0.30000000000000004</v>
      </c>
      <c r="H32" s="4">
        <f t="shared" si="3"/>
        <v>4.5000000000000009</v>
      </c>
      <c r="I32" s="7" t="s">
        <v>96</v>
      </c>
    </row>
    <row r="33" spans="1:9" x14ac:dyDescent="0.3">
      <c r="A33" s="1" t="s">
        <v>50</v>
      </c>
      <c r="B33" s="1" t="s">
        <v>80</v>
      </c>
      <c r="C33" s="2">
        <v>17</v>
      </c>
      <c r="D33" s="3">
        <f t="shared" si="0"/>
        <v>255</v>
      </c>
      <c r="F33" s="4">
        <v>0.1</v>
      </c>
      <c r="G33" s="4">
        <f t="shared" si="2"/>
        <v>1.7000000000000002</v>
      </c>
      <c r="H33" s="4">
        <f t="shared" si="3"/>
        <v>25.500000000000004</v>
      </c>
      <c r="I33" s="7" t="s">
        <v>96</v>
      </c>
    </row>
    <row r="34" spans="1:9" x14ac:dyDescent="0.3">
      <c r="A34" s="1" t="s">
        <v>51</v>
      </c>
      <c r="B34" s="1" t="s">
        <v>80</v>
      </c>
      <c r="C34" s="2">
        <v>17</v>
      </c>
      <c r="D34" s="3">
        <f t="shared" si="0"/>
        <v>255</v>
      </c>
      <c r="F34" s="4">
        <v>0.1</v>
      </c>
      <c r="G34" s="4">
        <f t="shared" si="2"/>
        <v>1.7000000000000002</v>
      </c>
      <c r="H34" s="4">
        <f t="shared" si="3"/>
        <v>25.500000000000004</v>
      </c>
      <c r="I34" s="7" t="s">
        <v>96</v>
      </c>
    </row>
    <row r="35" spans="1:9" x14ac:dyDescent="0.3">
      <c r="A35" s="1" t="s">
        <v>32</v>
      </c>
      <c r="B35" s="1" t="s">
        <v>79</v>
      </c>
      <c r="C35" s="2">
        <v>1</v>
      </c>
      <c r="D35" s="3">
        <f t="shared" si="0"/>
        <v>15</v>
      </c>
      <c r="F35" s="4">
        <v>0.1</v>
      </c>
      <c r="G35" s="4">
        <f t="shared" si="2"/>
        <v>0.1</v>
      </c>
      <c r="H35" s="4">
        <f t="shared" si="3"/>
        <v>1.5</v>
      </c>
      <c r="I35" s="7" t="s">
        <v>96</v>
      </c>
    </row>
    <row r="36" spans="1:9" x14ac:dyDescent="0.3">
      <c r="A36" s="1" t="s">
        <v>33</v>
      </c>
      <c r="B36" s="1" t="s">
        <v>79</v>
      </c>
      <c r="C36" s="2">
        <v>1</v>
      </c>
      <c r="D36" s="3">
        <f t="shared" si="0"/>
        <v>15</v>
      </c>
      <c r="F36" s="4">
        <v>0.1</v>
      </c>
      <c r="G36" s="4">
        <f t="shared" si="2"/>
        <v>0.1</v>
      </c>
      <c r="H36" s="4">
        <f t="shared" si="3"/>
        <v>1.5</v>
      </c>
      <c r="I36" s="7" t="s">
        <v>96</v>
      </c>
    </row>
    <row r="37" spans="1:9" x14ac:dyDescent="0.3">
      <c r="A37" s="1" t="s">
        <v>34</v>
      </c>
      <c r="B37" s="1" t="s">
        <v>81</v>
      </c>
      <c r="C37" s="2">
        <v>4</v>
      </c>
      <c r="D37" s="3">
        <f t="shared" si="0"/>
        <v>60</v>
      </c>
      <c r="F37" s="4">
        <v>1.6</v>
      </c>
      <c r="G37" s="4">
        <f t="shared" si="2"/>
        <v>6.4</v>
      </c>
      <c r="H37" s="4">
        <f t="shared" si="3"/>
        <v>96</v>
      </c>
      <c r="I37" s="7" t="s">
        <v>96</v>
      </c>
    </row>
    <row r="38" spans="1:9" x14ac:dyDescent="0.3">
      <c r="A38" s="1" t="s">
        <v>35</v>
      </c>
      <c r="B38" s="1" t="s">
        <v>82</v>
      </c>
      <c r="C38" s="2">
        <v>20</v>
      </c>
      <c r="D38" s="3">
        <f t="shared" si="0"/>
        <v>300</v>
      </c>
      <c r="F38" s="4">
        <v>0.1</v>
      </c>
      <c r="G38" s="4">
        <f t="shared" si="2"/>
        <v>2</v>
      </c>
      <c r="H38" s="4">
        <f t="shared" si="3"/>
        <v>30</v>
      </c>
      <c r="I38" s="7" t="s">
        <v>96</v>
      </c>
    </row>
    <row r="39" spans="1:9" x14ac:dyDescent="0.3">
      <c r="A39" s="1" t="s">
        <v>36</v>
      </c>
      <c r="B39" s="1" t="s">
        <v>83</v>
      </c>
      <c r="C39" s="2">
        <v>5</v>
      </c>
      <c r="D39" s="3">
        <f t="shared" si="0"/>
        <v>75</v>
      </c>
      <c r="F39" s="4">
        <v>0.38</v>
      </c>
      <c r="G39" s="4">
        <f t="shared" si="2"/>
        <v>1.9</v>
      </c>
      <c r="H39" s="4">
        <f t="shared" si="3"/>
        <v>28.5</v>
      </c>
      <c r="I39" s="7" t="s">
        <v>96</v>
      </c>
    </row>
    <row r="40" spans="1:9" x14ac:dyDescent="0.3">
      <c r="A40" s="1" t="s">
        <v>37</v>
      </c>
      <c r="B40" s="1" t="s">
        <v>83</v>
      </c>
      <c r="C40" s="2">
        <v>4</v>
      </c>
      <c r="D40" s="3">
        <f t="shared" si="0"/>
        <v>60</v>
      </c>
      <c r="F40" s="4">
        <v>0.42</v>
      </c>
      <c r="G40" s="4">
        <f t="shared" si="2"/>
        <v>1.68</v>
      </c>
      <c r="H40" s="4">
        <f t="shared" si="3"/>
        <v>25.2</v>
      </c>
      <c r="I40" s="7" t="s">
        <v>96</v>
      </c>
    </row>
    <row r="41" spans="1:9" x14ac:dyDescent="0.3">
      <c r="A41" s="1" t="s">
        <v>38</v>
      </c>
      <c r="B41" s="1" t="s">
        <v>84</v>
      </c>
      <c r="C41" s="2">
        <v>4</v>
      </c>
      <c r="D41" s="3">
        <f t="shared" si="0"/>
        <v>60</v>
      </c>
      <c r="F41" s="4">
        <v>0.69</v>
      </c>
      <c r="G41" s="4">
        <f t="shared" si="2"/>
        <v>2.76</v>
      </c>
      <c r="H41" s="4">
        <f t="shared" si="3"/>
        <v>41.4</v>
      </c>
      <c r="I41" s="7" t="s">
        <v>96</v>
      </c>
    </row>
    <row r="42" spans="1:9" x14ac:dyDescent="0.3">
      <c r="A42" s="1" t="s">
        <v>39</v>
      </c>
      <c r="B42" s="1" t="s">
        <v>84</v>
      </c>
      <c r="C42" s="2">
        <v>4</v>
      </c>
      <c r="D42" s="3">
        <f t="shared" si="0"/>
        <v>60</v>
      </c>
      <c r="F42" s="4">
        <v>0.81</v>
      </c>
      <c r="G42" s="4">
        <f t="shared" si="2"/>
        <v>3.24</v>
      </c>
      <c r="H42" s="4">
        <f t="shared" si="3"/>
        <v>48.6</v>
      </c>
      <c r="I42" s="7" t="s">
        <v>96</v>
      </c>
    </row>
    <row r="43" spans="1:9" x14ac:dyDescent="0.3">
      <c r="A43" s="1" t="s">
        <v>40</v>
      </c>
      <c r="B43" s="1" t="s">
        <v>79</v>
      </c>
      <c r="C43" s="2">
        <v>18</v>
      </c>
      <c r="D43" s="3">
        <f t="shared" si="0"/>
        <v>270</v>
      </c>
      <c r="F43" s="4">
        <v>0.1</v>
      </c>
      <c r="G43" s="4">
        <f t="shared" si="2"/>
        <v>1.8</v>
      </c>
      <c r="H43" s="4">
        <f t="shared" si="3"/>
        <v>27</v>
      </c>
      <c r="I43" s="7" t="s">
        <v>96</v>
      </c>
    </row>
    <row r="44" spans="1:9" x14ac:dyDescent="0.3">
      <c r="A44" s="1" t="s">
        <v>41</v>
      </c>
      <c r="B44" s="1" t="s">
        <v>79</v>
      </c>
      <c r="C44" s="2">
        <v>6</v>
      </c>
      <c r="D44" s="3">
        <f t="shared" si="0"/>
        <v>90</v>
      </c>
      <c r="F44" s="4">
        <v>0.1</v>
      </c>
      <c r="G44" s="4">
        <f t="shared" si="2"/>
        <v>0.60000000000000009</v>
      </c>
      <c r="H44" s="4">
        <f t="shared" si="3"/>
        <v>9.0000000000000018</v>
      </c>
      <c r="I44" s="7" t="s">
        <v>96</v>
      </c>
    </row>
    <row r="45" spans="1:9" x14ac:dyDescent="0.3">
      <c r="A45" s="1" t="s">
        <v>42</v>
      </c>
      <c r="B45" s="1" t="s">
        <v>85</v>
      </c>
      <c r="C45" s="2">
        <v>6</v>
      </c>
      <c r="D45" s="3">
        <f t="shared" si="0"/>
        <v>90</v>
      </c>
      <c r="F45" s="4">
        <v>0.1</v>
      </c>
      <c r="G45" s="4">
        <f t="shared" si="2"/>
        <v>0.60000000000000009</v>
      </c>
      <c r="H45" s="4">
        <f t="shared" si="3"/>
        <v>9.0000000000000018</v>
      </c>
      <c r="I45" s="7" t="s">
        <v>96</v>
      </c>
    </row>
    <row r="46" spans="1:9" x14ac:dyDescent="0.3">
      <c r="A46" s="1" t="s">
        <v>43</v>
      </c>
      <c r="B46" s="1" t="s">
        <v>85</v>
      </c>
      <c r="C46" s="2">
        <v>6</v>
      </c>
      <c r="D46" s="3">
        <f t="shared" si="0"/>
        <v>90</v>
      </c>
      <c r="F46" s="4">
        <v>0.1</v>
      </c>
      <c r="G46" s="4">
        <f t="shared" si="2"/>
        <v>0.60000000000000009</v>
      </c>
      <c r="H46" s="4">
        <f t="shared" si="3"/>
        <v>9.0000000000000018</v>
      </c>
      <c r="I46" s="7" t="s">
        <v>96</v>
      </c>
    </row>
    <row r="47" spans="1:9" x14ac:dyDescent="0.3">
      <c r="A47" s="1" t="s">
        <v>44</v>
      </c>
      <c r="B47" s="1" t="s">
        <v>86</v>
      </c>
      <c r="C47" s="2">
        <v>6</v>
      </c>
      <c r="D47" s="3">
        <f t="shared" si="0"/>
        <v>90</v>
      </c>
      <c r="F47" s="4">
        <v>0.1</v>
      </c>
      <c r="G47" s="4">
        <f t="shared" si="2"/>
        <v>0.60000000000000009</v>
      </c>
      <c r="H47" s="4">
        <f t="shared" si="3"/>
        <v>9.0000000000000018</v>
      </c>
      <c r="I47" s="7" t="s">
        <v>96</v>
      </c>
    </row>
    <row r="48" spans="1:9" x14ac:dyDescent="0.3">
      <c r="A48" s="1" t="s">
        <v>45</v>
      </c>
      <c r="B48" s="1" t="s">
        <v>85</v>
      </c>
      <c r="C48" s="2">
        <v>6</v>
      </c>
      <c r="D48" s="3">
        <f t="shared" si="0"/>
        <v>90</v>
      </c>
      <c r="F48" s="4">
        <v>0.1</v>
      </c>
      <c r="G48" s="4">
        <f t="shared" si="2"/>
        <v>0.60000000000000009</v>
      </c>
      <c r="H48" s="4">
        <f t="shared" si="3"/>
        <v>9.0000000000000018</v>
      </c>
      <c r="I48" s="7" t="s">
        <v>96</v>
      </c>
    </row>
    <row r="49" spans="1:9" x14ac:dyDescent="0.3">
      <c r="A49" s="1" t="s">
        <v>46</v>
      </c>
      <c r="B49" s="1" t="s">
        <v>85</v>
      </c>
      <c r="C49" s="2">
        <v>6</v>
      </c>
      <c r="D49" s="3">
        <f t="shared" si="0"/>
        <v>90</v>
      </c>
      <c r="F49" s="4">
        <v>0.1</v>
      </c>
      <c r="G49" s="4">
        <f t="shared" si="2"/>
        <v>0.60000000000000009</v>
      </c>
      <c r="H49" s="4">
        <f t="shared" si="3"/>
        <v>9.0000000000000018</v>
      </c>
      <c r="I49" s="7" t="s">
        <v>96</v>
      </c>
    </row>
    <row r="50" spans="1:9" x14ac:dyDescent="0.3">
      <c r="A50" s="1" t="s">
        <v>47</v>
      </c>
      <c r="B50" s="1" t="s">
        <v>79</v>
      </c>
      <c r="C50" s="2">
        <v>2</v>
      </c>
      <c r="D50" s="3">
        <f t="shared" si="0"/>
        <v>30</v>
      </c>
      <c r="F50" s="4">
        <v>0.1</v>
      </c>
      <c r="G50" s="4">
        <f t="shared" ref="G50:G51" si="4">F50*C50</f>
        <v>0.2</v>
      </c>
      <c r="H50" s="4">
        <f t="shared" ref="H50:H51" si="5">G50*$D$3</f>
        <v>3</v>
      </c>
      <c r="I50" s="7" t="s">
        <v>96</v>
      </c>
    </row>
    <row r="51" spans="1:9" x14ac:dyDescent="0.3">
      <c r="A51" s="1" t="s">
        <v>48</v>
      </c>
      <c r="B51" s="1" t="s">
        <v>87</v>
      </c>
      <c r="C51" s="2">
        <v>12</v>
      </c>
      <c r="D51" s="3">
        <f t="shared" si="0"/>
        <v>180</v>
      </c>
      <c r="F51" s="4">
        <v>0.65</v>
      </c>
      <c r="G51" s="4">
        <f t="shared" si="4"/>
        <v>7.8000000000000007</v>
      </c>
      <c r="H51" s="4">
        <f t="shared" si="5"/>
        <v>117.00000000000001</v>
      </c>
      <c r="I51" s="7" t="s">
        <v>96</v>
      </c>
    </row>
    <row r="53" spans="1:9" x14ac:dyDescent="0.3">
      <c r="G53" t="s">
        <v>91</v>
      </c>
      <c r="H53" t="s">
        <v>93</v>
      </c>
    </row>
    <row r="54" spans="1:9" ht="18" x14ac:dyDescent="0.35">
      <c r="G54" s="4">
        <f>SUM(G5:G51)</f>
        <v>259.38</v>
      </c>
      <c r="H54" s="5">
        <f>SUM(H5:H51)</f>
        <v>3890.7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</dc:creator>
  <cp:lastModifiedBy>Hufnagel</cp:lastModifiedBy>
  <dcterms:created xsi:type="dcterms:W3CDTF">2022-08-19T11:31:59Z</dcterms:created>
  <dcterms:modified xsi:type="dcterms:W3CDTF">2022-09-19T07:39:53Z</dcterms:modified>
</cp:coreProperties>
</file>