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ads.mwn.de\ga92wum\Desktop\"/>
    </mc:Choice>
  </mc:AlternateContent>
  <xr:revisionPtr revIDLastSave="0" documentId="13_ncr:1_{8364A513-5345-4A57-A645-F25676B3378E}" xr6:coauthVersionLast="36" xr6:coauthVersionMax="36" xr10:uidLastSave="{00000000-0000-0000-0000-000000000000}"/>
  <bookViews>
    <workbookView xWindow="0" yWindow="0" windowWidth="18600" windowHeight="9100" xr2:uid="{C1292180-2071-4134-BAF2-D6614F20D6EA}"/>
  </bookViews>
  <sheets>
    <sheet name="BOM_UZ_D_Inverter_Variant_V1_Re" sheetId="1" r:id="rId1"/>
    <sheet name="win-source order" sheetId="2" r:id="rId2"/>
  </sheets>
  <definedNames>
    <definedName name="_xlnm._FilterDatabase" localSheetId="0" hidden="1">BOM_UZ_D_Inverter_Variant_V1_Re!$B$1:$S$26</definedName>
    <definedName name="_xlnm.Print_Titles" localSheetId="0">BOM_UZ_D_Inverter_Variant_V1_Re!$1:$1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D17" i="1"/>
  <c r="G17" i="1"/>
  <c r="I12" i="1" l="1"/>
  <c r="I9" i="1"/>
  <c r="I10" i="1"/>
  <c r="I11" i="1"/>
  <c r="I26" i="1"/>
  <c r="H25" i="1"/>
  <c r="H22" i="1"/>
  <c r="H15" i="1"/>
  <c r="G33" i="1" l="1"/>
  <c r="F9" i="2" l="1"/>
  <c r="F8" i="2"/>
  <c r="F7" i="2"/>
  <c r="F6" i="2"/>
  <c r="F13" i="2" s="1"/>
  <c r="F5" i="2"/>
  <c r="F4" i="2"/>
  <c r="F3" i="2"/>
  <c r="I13" i="1"/>
  <c r="I15" i="1" l="1"/>
  <c r="I21" i="1"/>
  <c r="I25" i="1"/>
  <c r="I24" i="1"/>
  <c r="I22" i="1"/>
  <c r="I23" i="1"/>
  <c r="I6" i="1"/>
  <c r="G24" i="1"/>
  <c r="D24" i="1" s="1"/>
  <c r="I30" i="1" l="1"/>
  <c r="G5" i="1"/>
  <c r="G6" i="1"/>
  <c r="D6" i="1" s="1"/>
  <c r="G26" i="1"/>
  <c r="G25" i="1"/>
  <c r="D25" i="1" s="1"/>
  <c r="G23" i="1"/>
  <c r="G22" i="1"/>
  <c r="D22" i="1" s="1"/>
  <c r="G21" i="1"/>
  <c r="D21" i="1" s="1"/>
  <c r="G15" i="1"/>
  <c r="D15" i="1" s="1"/>
  <c r="G14" i="1"/>
  <c r="G13" i="1"/>
  <c r="G12" i="1"/>
  <c r="G11" i="1"/>
  <c r="G10" i="1"/>
  <c r="G9" i="1"/>
  <c r="D30" i="1" l="1"/>
</calcChain>
</file>

<file path=xl/sharedStrings.xml><?xml version="1.0" encoding="utf-8"?>
<sst xmlns="http://schemas.openxmlformats.org/spreadsheetml/2006/main" count="335" uniqueCount="227">
  <si>
    <t>Quantity</t>
  </si>
  <si>
    <t>Designator</t>
  </si>
  <si>
    <t>Description</t>
  </si>
  <si>
    <t>Manufacturer Part Number</t>
  </si>
  <si>
    <t>Value</t>
  </si>
  <si>
    <t>Comment</t>
  </si>
  <si>
    <t>Footprint</t>
  </si>
  <si>
    <t>Supplier 1</t>
  </si>
  <si>
    <t>Supplier Part Number 1</t>
  </si>
  <si>
    <t>Supplier 2</t>
  </si>
  <si>
    <t>Supplier Part Number 2</t>
  </si>
  <si>
    <t>LCSC Part Number</t>
  </si>
  <si>
    <t>C9A, C9B, C9C, C11A, C11B, C11C, C12A, C12B, C12C, C15A, C15B, C15C, C16A, C16B, C16C, C17A, C17B, C17C, C19A, C19B, C19C, C20A, C20B, C20C, C22A, C22B, C22C, C23A, C23B, C23C, C24A, C24B, C24C, C50, C51, C55, C56, C57, C58, C59, C60, C64A, C64B, C64C, C65A, C65B, C65C, C66A, C66B, C66C, C67A, C67B, C67C, C68A, C68B, C68C, C69A, C69B, C69C, C72A, C72B, C72C, C73A, C73B, C73C, C80, C80A, C80B, C80C, C81A, C81B, C81C, C82A, C82B, C82C, C83A, C83B, C83C, C84, C99, C105</t>
  </si>
  <si>
    <t>Capacitor 0603, 25 VDC, 1 µF, X7R, Capacitor 0603, 50 VDC, 56 pF, C0G, Capacitor 0603, 25 VDC, 0.01 µF, C0G, Capacitor 0603, 100 VDC, 0.1 uF, X7S, Capacitor 0603, 25 VDC, 2.2 uF, X5R</t>
  </si>
  <si>
    <t>C0603C105K3RAC7411 , CL10C560JB8NNNC, C0603C103F3GECTU, C1608X7S2A104K080AB, C1608X5R1E225K080AB</t>
  </si>
  <si>
    <t>1 µF, 56 pF, 0.01 µF, 0.1 µF, 2.2 uF</t>
  </si>
  <si>
    <t>=Value</t>
  </si>
  <si>
    <t>C_0603</t>
  </si>
  <si>
    <t>Mouser</t>
  </si>
  <si>
    <t>80-C0603C105K3RLR , 187-CL10C560JB8NNNC, 80-C0603C103F3GEC, 810-C1608X7S2A104K, 810-C1608X5R1E225K</t>
  </si>
  <si>
    <t>[NoValue], LCSC</t>
  </si>
  <si>
    <t>[NoValue], =LCSC Part Number</t>
  </si>
  <si>
    <t>[NoValue], C39148, C2167215</t>
  </si>
  <si>
    <t>C10A, C10B, C10C, C18A, C18B, C18C, C21A, C21B, C21C, C25A, C25B, C25C, C26A, C26B, C26C, C52</t>
  </si>
  <si>
    <t>Capacitor 0603, 25 VDC, 10 nF, C0G</t>
  </si>
  <si>
    <t>C0603X103K3GECTU</t>
  </si>
  <si>
    <t>10 nF</t>
  </si>
  <si>
    <t/>
  </si>
  <si>
    <t>80-C0603X103K3GEC</t>
  </si>
  <si>
    <t>C14A, C14B, C14C, C54, C60A, C60B, C60C, C61A, C61B, C61C, C62A, C62B, C62C, C63A, C63B, C63C</t>
  </si>
  <si>
    <t>Capacitor 0805, 100 VDC, 0.01 µF, C0G, Capacitor 0805, 50 VDC, 4.7 µF, X7R</t>
  </si>
  <si>
    <t xml:space="preserve">C0805C103F1GECAUTO, C2012X7R1H475K125AC </t>
  </si>
  <si>
    <t>0.01 µF, 4.7 µF</t>
  </si>
  <si>
    <t>C_0805</t>
  </si>
  <si>
    <t xml:space="preserve">80-C0805C103F1GECAUT, 810-C2012X7R475K125C </t>
  </si>
  <si>
    <t>C40, C41, C42, C43, C44, C45, C46, C47, C48, C49</t>
  </si>
  <si>
    <t>EEEFK0J332AV</t>
  </si>
  <si>
    <t>667-EEV-FK2A470V</t>
  </si>
  <si>
    <t>C81, C82, C83, C85, C86, C87, C88, C89, C90, C91</t>
  </si>
  <si>
    <t>Capacitor 1210, 100 VDC, 10µF, X7S</t>
  </si>
  <si>
    <t>GRM32EC72A106KE05L</t>
  </si>
  <si>
    <t>10 µF</t>
  </si>
  <si>
    <t>C_1210_N</t>
  </si>
  <si>
    <t>81-GRM32EC72A106KE05</t>
  </si>
  <si>
    <t>C576517</t>
  </si>
  <si>
    <t>D1, D2, D3</t>
  </si>
  <si>
    <t>WL-SMCW SMD Mono-color Chip LED Waterclear Blue, WL-SMCW SMD Mono-color Chip LED Waterclear Green, WL-SMCW SMD Mono-color Chip LED Waterclear Red</t>
  </si>
  <si>
    <t>150060BS84000 , 150060GS84000 , 150060RS86000</t>
  </si>
  <si>
    <t>=Manufacturer Part Number</t>
  </si>
  <si>
    <t>WL-SMCW_0603</t>
  </si>
  <si>
    <t xml:space="preserve">710-150060BS84000, 710-150060GS84000, 710-150060RS86000 </t>
  </si>
  <si>
    <t>Farnell</t>
  </si>
  <si>
    <t xml:space="preserve">3408611 , 3408612 , 3408608 </t>
  </si>
  <si>
    <t>[NoValue], C389517</t>
  </si>
  <si>
    <t>F1, F2, F3</t>
  </si>
  <si>
    <t>POLYSWITCH RESETTABLE DEVICES</t>
  </si>
  <si>
    <t>MINIASMDC110F/24-2</t>
  </si>
  <si>
    <t>PPTC, 1.1 A, 24V</t>
  </si>
  <si>
    <t>MINIASMDC260F162</t>
  </si>
  <si>
    <t>650-MINIASMDC110F/24</t>
  </si>
  <si>
    <t>J1, J2</t>
  </si>
  <si>
    <t>CAT5, RJ45 Connector, 1 port SMD</t>
  </si>
  <si>
    <t>634008149821</t>
  </si>
  <si>
    <t>710-634008149821</t>
  </si>
  <si>
    <t>J3</t>
  </si>
  <si>
    <t>FCR7350B, 1000V, 24A, RED</t>
  </si>
  <si>
    <t>FCR7350R</t>
  </si>
  <si>
    <t>PCB mount 4mm jack, Red FCR7350R, 1000V, 24A</t>
  </si>
  <si>
    <t>FCR7350R, PCB mount 4mm jack, RED</t>
  </si>
  <si>
    <t>FCR7350</t>
  </si>
  <si>
    <t>Digi-Key</t>
  </si>
  <si>
    <t>3185-FCR7350R-ND</t>
  </si>
  <si>
    <t>1854508</t>
  </si>
  <si>
    <t>J4</t>
  </si>
  <si>
    <t>FCR7350B, 1000V, 24A, BLUE</t>
  </si>
  <si>
    <t>FCR7350L</t>
  </si>
  <si>
    <t>PCB mount 4mm jack, Blue FCR7350L, 1000V, 24A</t>
  </si>
  <si>
    <t>FCR7350L, PCB mount 4mm jack, BLUE</t>
  </si>
  <si>
    <t>3185-FCR7350L-ND</t>
  </si>
  <si>
    <t>1854511</t>
  </si>
  <si>
    <t>J5, J6, J7</t>
  </si>
  <si>
    <t>FCR7350B, 1000V, 24A, BLACK</t>
  </si>
  <si>
    <t>FCR7350B</t>
  </si>
  <si>
    <t>PCB mount 4mm jack, Black	FCR7350B, 1000V, 24A</t>
  </si>
  <si>
    <t>FCR7350B, PCB mount 4mm jack, BLACK</t>
  </si>
  <si>
    <t>3185-FCR7350B-ND</t>
  </si>
  <si>
    <t>1854507</t>
  </si>
  <si>
    <t>L1A, L1B, L1C, L2A, L2B, L2C, L3A, L3B, L3C, L4A, L4B, L4C, L5A, L5B, L5C, L6, L7, L8, L9A, L9B, L9C, L10A, L10B, L10C, L12</t>
  </si>
  <si>
    <t>6.8µH, 120mA, 0603, 740mOhm, 20%</t>
  </si>
  <si>
    <t>LQM18DN6R8M70L</t>
  </si>
  <si>
    <t>6.8uH</t>
  </si>
  <si>
    <t>INDC1608X95N</t>
  </si>
  <si>
    <t>81-LQM18DN6R8M70L</t>
  </si>
  <si>
    <t>Digikey</t>
  </si>
  <si>
    <t>490-LQM18DN6R8M70LCT-ND</t>
  </si>
  <si>
    <t>C1881372</t>
  </si>
  <si>
    <t>PS1A, PS1B, PS1C, PS2A, PS2B, PS2C</t>
  </si>
  <si>
    <t>Isolated, 21.6 -26.4Vin, 12V out, 1W, 84mA out</t>
  </si>
  <si>
    <t>PDSE1-S24-S12-M-TR</t>
  </si>
  <si>
    <t>1 W</t>
  </si>
  <si>
    <t>PDSE1S24S12MTR</t>
  </si>
  <si>
    <t>490-PDSE1-S24-S12MTR</t>
  </si>
  <si>
    <t>102-PDSE1-S24-S12-M-TRCT-ND</t>
  </si>
  <si>
    <t>C6730719</t>
  </si>
  <si>
    <t>Q1A, Q1B, Q1C, Q2A, Q2B, Q2C</t>
  </si>
  <si>
    <t>Power MOSFET, n-Channel, 97A, 100V</t>
  </si>
  <si>
    <t>ISC060N10NM6ATMA1</t>
  </si>
  <si>
    <t>100V, 97A</t>
  </si>
  <si>
    <t>726-ISC060N10NM6ATMA</t>
  </si>
  <si>
    <t>RS-online</t>
  </si>
  <si>
    <t>235-4869</t>
  </si>
  <si>
    <t>R1, R4, R5, R6, R7, R8, R9, R12A, R12B, R12C, R13A, R13B, R13C, R14A, R14B, R14C, R15A, R15B, R15C, R19A, R19B, R19C, R20A, R20B, R20C, R21A, R21B, R21C, R22A, R22B, R22C, R23A, R23B, R23C, R24A, R24B, R24C, R25A, R25B, R25C, R26A, R26B, R26C, R27A, R27B, R27C, R28A, R28B, R28C, R29A, R29B, R29C, R30A, R30B, R30C, R31A, R31B, R31C, R32A, R32B, R32C, R34A, R34B, R34C, R35A, R35B, R35C, R36A, R36B, R36C, R37A, R37B, R37C, R38A, R38B, R38C, R39A, R39B, R39C, R41A, R41B, R41C, R42A, R42B, R42C, R43A, R43B, R43C, R44A, R44B, R44C, R45A, R45B, R45C, R46A, R46B, R46C, R53, R54, R55, R56, R57, R58, R60, R61, R62, R63, R67, R68, R72, R73, R74, R75, R86A, R86B, R86C, R87A, R87B, R87C, R89A, R89B, R89C, R94, R95, R96, R97A, R97B, R97C, R127, R129A, R129B, R129C, R130A, R130B, R130C</t>
  </si>
  <si>
    <t>SMD resistor E24 series, SMD resistor 0.1%, SMD resistor 1%, SMD resistor 0.1%, 10ppm, SMD resistor 1%, 50V, 100ppm</t>
  </si>
  <si>
    <t>RC0603JR-070RL, RK73B1JTTD103J, RK73B1JTTD203J, RK73B1JTTDD682J, RK73B1JTTDD242J, PCF-W0603LF-03-1001-B-P-LT , ERJ-PB3B2001V, RK73H1JTTD49R9F, RQ73C1J10KBTD, RQ73C1J110KBTD, CR0603-FX-1053ELF, CR0603-FX-2803ELF, CR0603-FX-9763ELF, CR0603-FX-1823ELF, RT0603FRE073K9L</t>
  </si>
  <si>
    <t>0R, 10k, 20k, 6k8, 2k4, 1k, 2k, 49R9, 110k, 105k, 280k, 976k, 182k, 3k9</t>
  </si>
  <si>
    <t>RES 0603_1608</t>
  </si>
  <si>
    <t>603-RC0603JR-070RL, 660-RK73B1JTTD103J, 660-RK73B1JTTD203J, 660-RK73B1JTTDD682J, 660-RK73B1JTTDD242J, 66-PCFW0603LF031001B, 667-ERJ-PB3B2001V, 660-RK73H1JTTD49R9F, 279-RQ73C1J10KBTD, 279-RQ73C1J110KBTD, 652-CR0603-FX1053ELF, 652-CR0603-FX2803ELF, 652-CR0603FX-9763ELF, 652-CR0603FX-1823ELF, 603-RT0603FRE073K9L</t>
  </si>
  <si>
    <t>LCSC, [NoValue]</t>
  </si>
  <si>
    <t>=LCSC Part Number, [NoValue]</t>
  </si>
  <si>
    <t>C21189, C25804, [NoValue], C189729, C160046, C162980, C203368, C863790</t>
  </si>
  <si>
    <t>R10A, R10B, R10C, R50</t>
  </si>
  <si>
    <t>Shunt resistor 2mOhm, 5W, 1%</t>
  </si>
  <si>
    <t>PU3921FKMP50R002L</t>
  </si>
  <si>
    <t>2mR</t>
  </si>
  <si>
    <t>3921</t>
  </si>
  <si>
    <t>603-PU3921FKMP50R002</t>
  </si>
  <si>
    <t>C2090244</t>
  </si>
  <si>
    <t>R33A, R33B, R33C, R40A, R40B, R40C</t>
  </si>
  <si>
    <t>SMD resistor 1%</t>
  </si>
  <si>
    <t xml:space="preserve">ERJ-6ENF2873V </t>
  </si>
  <si>
    <t>287k</t>
  </si>
  <si>
    <t>RES 0805_2012</t>
  </si>
  <si>
    <t xml:space="preserve">667-ERJ-6ENF2873V </t>
  </si>
  <si>
    <t>C228683</t>
  </si>
  <si>
    <t>RG1A, RG1B, RG1C, RG2A, RG2B, RG2C</t>
  </si>
  <si>
    <t>SMD resistor E24 series</t>
  </si>
  <si>
    <t>RCC120647R0FKEA</t>
  </si>
  <si>
    <t>47R</t>
  </si>
  <si>
    <t>RES 1206_3216</t>
  </si>
  <si>
    <t>71-RCC120647R0FKEA</t>
  </si>
  <si>
    <t>TP5, TP6, TP7, TP16, TP17</t>
  </si>
  <si>
    <t>Testpoint 1mm</t>
  </si>
  <si>
    <t>NULL</t>
  </si>
  <si>
    <t>TP_1mm</t>
  </si>
  <si>
    <t>U2A, U2B, U2C, U11</t>
  </si>
  <si>
    <t>Current Sense Amplifier, 300kHz, -0.1V to 65V CMV, 2 Channel</t>
  </si>
  <si>
    <t>MAX40056TAUA+</t>
  </si>
  <si>
    <t>SOP65P490X110-8N</t>
  </si>
  <si>
    <t>700-MAX40056TAUA+</t>
  </si>
  <si>
    <t>C1139026</t>
  </si>
  <si>
    <t>U3A, U3B, U3C, U4A, U4B, U4C, U10, U12</t>
  </si>
  <si>
    <t>Fully Differential Amplifier, Ultralow-Power,Low Distortion, 260-MHz</t>
  </si>
  <si>
    <t>ADA4940-1ARZ-R7</t>
  </si>
  <si>
    <t>SOT127P600X175-8N</t>
  </si>
  <si>
    <t>584-ADA4940-1ARZ</t>
  </si>
  <si>
    <t>505-ADA4940-1ARZ-ND</t>
  </si>
  <si>
    <t>C730049</t>
  </si>
  <si>
    <t>U5A, U5B, U5C, U9A, U9B, U9C</t>
  </si>
  <si>
    <t>Board Mount Temperature Sensor, -50 - 150°C</t>
  </si>
  <si>
    <t>LM57CISD-10/NOPB</t>
  </si>
  <si>
    <t>SON50P250X250X80-9N</t>
  </si>
  <si>
    <t>926-LM57CISD-10/NOPB</t>
  </si>
  <si>
    <t>LM57CISD-10/NOPBCT-ND</t>
  </si>
  <si>
    <t>C2864091</t>
  </si>
  <si>
    <t>U6A, U6B, U6C, U8A, U8B, U8C</t>
  </si>
  <si>
    <t>Switching Controllers PWM with 5% to 100% Pulse Width Control</t>
  </si>
  <si>
    <t>SOT95P280X100-6N</t>
  </si>
  <si>
    <t>584-6992HS64WTRMPBF</t>
  </si>
  <si>
    <t>C3304518</t>
  </si>
  <si>
    <t>U7A, U7B, U7C</t>
  </si>
  <si>
    <t>Gate Driver  8A, 1.5 kV, daul channel isolated gate driver</t>
  </si>
  <si>
    <t>2EDF7275KXUMA1</t>
  </si>
  <si>
    <t>726-2EDF7275KXUMA1</t>
  </si>
  <si>
    <t>U13</t>
  </si>
  <si>
    <t>Dual Schmitt Trigger Inverter</t>
  </si>
  <si>
    <t xml:space="preserve">SN74LVC2G14DBVR </t>
  </si>
  <si>
    <t>SOT95P280X145-6N</t>
  </si>
  <si>
    <t xml:space="preserve">595-SN74LVC2G14DBVR </t>
  </si>
  <si>
    <t>C12401</t>
  </si>
  <si>
    <t>Total for all PCBS</t>
  </si>
  <si>
    <t>Anzahl PCBs</t>
  </si>
  <si>
    <t>WinSource</t>
  </si>
  <si>
    <t>JLC PCB</t>
  </si>
  <si>
    <t>C7437326</t>
  </si>
  <si>
    <t>C7437327</t>
  </si>
  <si>
    <t>C125076</t>
  </si>
  <si>
    <t>Bestellt</t>
  </si>
  <si>
    <t>Kosten</t>
  </si>
  <si>
    <t xml:space="preserve"> </t>
  </si>
  <si>
    <t>C2856239</t>
  </si>
  <si>
    <t>EEVFK2A680Q</t>
  </si>
  <si>
    <t>MAL215099907E3</t>
  </si>
  <si>
    <t xml:space="preserve">MAL215099908E3   </t>
  </si>
  <si>
    <t>Alternatives</t>
  </si>
  <si>
    <t>Part Number</t>
  </si>
  <si>
    <t>(PCS)</t>
  </si>
  <si>
    <t>Unit Price</t>
  </si>
  <si>
    <t>(USD)</t>
  </si>
  <si>
    <t>Manufacturer</t>
  </si>
  <si>
    <t>Package</t>
  </si>
  <si>
    <t>MURATA</t>
  </si>
  <si>
    <t>SMD</t>
  </si>
  <si>
    <t>ISC060N10NM6</t>
  </si>
  <si>
    <t>INFINEON</t>
  </si>
  <si>
    <t>TDSON-8</t>
  </si>
  <si>
    <t>MAX</t>
  </si>
  <si>
    <t>UMAX-8</t>
  </si>
  <si>
    <t>ADI</t>
  </si>
  <si>
    <t>SOP</t>
  </si>
  <si>
    <t>NSC</t>
  </si>
  <si>
    <t>QFN</t>
  </si>
  <si>
    <t>SOT-23</t>
  </si>
  <si>
    <t>2EDF7275K</t>
  </si>
  <si>
    <t>TFLGA-13</t>
  </si>
  <si>
    <t>LTC6992CS6-1#TRMPBF</t>
  </si>
  <si>
    <t>Preis (USD)</t>
  </si>
  <si>
    <t>Quant pro 5PCBs</t>
  </si>
  <si>
    <t>LCSC</t>
  </si>
  <si>
    <t>C2975252</t>
  </si>
  <si>
    <t>C3288847</t>
  </si>
  <si>
    <t>C581034</t>
  </si>
  <si>
    <t>Consigned part no.</t>
  </si>
  <si>
    <t>LM57CISD-5/NOPB</t>
  </si>
  <si>
    <t>68µF</t>
  </si>
  <si>
    <t>13.8x12.5x13.8mm, 100 VDC,  68 µF</t>
  </si>
  <si>
    <t>C278544</t>
  </si>
  <si>
    <t>Winsource costs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</si>
</sst>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USD]"/>
    <numFmt numFmtId="165" formatCode="#,##0.00\ _€"/>
  </numFmts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92CDDC"/>
        <bgColor indexed="64"/>
      </patternFill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8" fillId="7" borderId="7" applyNumberFormat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0" fontId="0" fillId="2" borderId="0" xfId="0" applyFill="1" applyBorder="1"/>
    <xf numFmtId="0" fontId="0" fillId="0" borderId="0" xfId="0" quotePrefix="1" applyBorder="1"/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2" fillId="4" borderId="0" xfId="2" quotePrefix="1" applyBorder="1"/>
    <xf numFmtId="0" fontId="1" fillId="3" borderId="0" xfId="1" quotePrefix="1" applyBorder="1"/>
    <xf numFmtId="164" fontId="2" fillId="4" borderId="0" xfId="2" quotePrefix="1" applyNumberFormat="1" applyBorder="1"/>
    <xf numFmtId="164" fontId="1" fillId="3" borderId="0" xfId="1" quotePrefix="1" applyNumberFormat="1" applyBorder="1"/>
    <xf numFmtId="164" fontId="0" fillId="0" borderId="0" xfId="0" applyNumberFormat="1"/>
    <xf numFmtId="164" fontId="2" fillId="4" borderId="0" xfId="2" quotePrefix="1" applyNumberFormat="1"/>
    <xf numFmtId="164" fontId="4" fillId="5" borderId="0" xfId="3" quotePrefix="1" applyNumberFormat="1" applyBorder="1"/>
    <xf numFmtId="164" fontId="3" fillId="0" borderId="0" xfId="0" applyNumberFormat="1" applyFont="1"/>
    <xf numFmtId="0" fontId="5" fillId="0" borderId="0" xfId="4"/>
    <xf numFmtId="11" fontId="0" fillId="0" borderId="0" xfId="0" applyNumberFormat="1"/>
    <xf numFmtId="0" fontId="1" fillId="3" borderId="0" xfId="1"/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4" fillId="5" borderId="2" xfId="3" applyBorder="1" applyAlignment="1">
      <alignment horizontal="center" vertical="center" wrapText="1"/>
    </xf>
    <xf numFmtId="0" fontId="8" fillId="7" borderId="7" xfId="5"/>
    <xf numFmtId="0" fontId="0" fillId="0" borderId="6" xfId="0" applyBorder="1" applyAlignment="1">
      <alignment horizont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0" fillId="0" borderId="0" xfId="0" quotePrefix="1" applyBorder="1" applyAlignment="1">
      <alignment wrapText="1"/>
    </xf>
    <xf numFmtId="164" fontId="0" fillId="0" borderId="0" xfId="0" quotePrefix="1" applyNumberFormat="1" applyBorder="1" applyAlignment="1">
      <alignment wrapText="1"/>
    </xf>
    <xf numFmtId="0" fontId="3" fillId="0" borderId="0" xfId="0" applyFont="1" applyFill="1" applyBorder="1"/>
  </cellXfs>
  <cellStyles count="6">
    <cellStyle name="Eingabe" xfId="5" builtinId="20"/>
    <cellStyle name="Gut" xfId="1" builtinId="26"/>
    <cellStyle name="Link" xfId="4" builtinId="8"/>
    <cellStyle name="Neutral" xfId="2" builtinId="28"/>
    <cellStyle name="Schlecht" xfId="3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Aluminum-Electrolytic-Capacitors-SMD_Vishay-Intertech-MAL215099907E3_C1984845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AA2-4651-4E33-9387-2A8604478B25}">
  <sheetPr filterMode="1"/>
  <dimension ref="A1:X36"/>
  <sheetViews>
    <sheetView tabSelected="1" zoomScale="115" zoomScaleNormal="115" workbookViewId="0">
      <selection activeCell="C8" sqref="C8"/>
    </sheetView>
  </sheetViews>
  <sheetFormatPr baseColWidth="10" defaultRowHeight="14.5" x14ac:dyDescent="0.35"/>
  <cols>
    <col min="1" max="1" width="16" customWidth="1"/>
    <col min="2" max="2" width="9.26953125" customWidth="1"/>
    <col min="3" max="3" width="31" customWidth="1"/>
    <col min="4" max="4" width="11.6328125" customWidth="1"/>
    <col min="5" max="5" width="12.08984375" bestFit="1" customWidth="1"/>
    <col min="6" max="6" width="9.26953125" bestFit="1" customWidth="1"/>
    <col min="7" max="7" width="17.26953125" bestFit="1" customWidth="1"/>
    <col min="8" max="8" width="9.36328125" bestFit="1" customWidth="1"/>
    <col min="9" max="9" width="17" customWidth="1"/>
    <col min="10" max="10" width="42.90625" customWidth="1"/>
    <col min="11" max="11" width="31.453125" customWidth="1"/>
    <col min="12" max="12" width="16" customWidth="1"/>
    <col min="13" max="13" width="35.7265625" customWidth="1"/>
    <col min="14" max="15" width="16" customWidth="1"/>
    <col min="16" max="16" width="15.08984375" customWidth="1"/>
    <col min="17" max="17" width="16" customWidth="1"/>
    <col min="18" max="18" width="9" customWidth="1"/>
    <col min="19" max="19" width="7.54296875" customWidth="1"/>
  </cols>
  <sheetData>
    <row r="1" spans="1:24" s="4" customFormat="1" ht="29" x14ac:dyDescent="0.35">
      <c r="A1" s="3" t="s">
        <v>11</v>
      </c>
      <c r="B1" s="3" t="s">
        <v>0</v>
      </c>
      <c r="C1" s="9" t="s">
        <v>1</v>
      </c>
      <c r="D1" s="35" t="s">
        <v>226</v>
      </c>
      <c r="E1" s="7" t="s">
        <v>181</v>
      </c>
      <c r="F1" s="7" t="s">
        <v>182</v>
      </c>
      <c r="G1" s="6" t="s">
        <v>179</v>
      </c>
      <c r="H1" s="6" t="s">
        <v>186</v>
      </c>
      <c r="I1" s="6" t="s">
        <v>187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T1" s="4" t="s">
        <v>193</v>
      </c>
    </row>
    <row r="2" spans="1:24" hidden="1" x14ac:dyDescent="0.35">
      <c r="A2" s="2" t="s">
        <v>22</v>
      </c>
      <c r="B2" s="1">
        <v>81</v>
      </c>
      <c r="C2" s="2" t="s">
        <v>12</v>
      </c>
      <c r="D2" s="8"/>
      <c r="E2" s="8"/>
      <c r="F2" s="8"/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</row>
    <row r="3" spans="1:24" hidden="1" x14ac:dyDescent="0.35">
      <c r="A3" s="2" t="s">
        <v>27</v>
      </c>
      <c r="B3" s="1">
        <v>16</v>
      </c>
      <c r="C3" s="2" t="s">
        <v>23</v>
      </c>
      <c r="D3" s="8"/>
      <c r="E3" s="8"/>
      <c r="F3" s="8"/>
      <c r="J3" s="2" t="s">
        <v>24</v>
      </c>
      <c r="K3" s="2" t="s">
        <v>25</v>
      </c>
      <c r="L3" s="2" t="s">
        <v>26</v>
      </c>
      <c r="M3" s="2" t="s">
        <v>27</v>
      </c>
      <c r="N3" s="2" t="s">
        <v>17</v>
      </c>
      <c r="O3" s="2" t="s">
        <v>18</v>
      </c>
      <c r="P3" s="2" t="s">
        <v>28</v>
      </c>
      <c r="Q3" s="2" t="s">
        <v>27</v>
      </c>
      <c r="R3" s="2" t="s">
        <v>27</v>
      </c>
    </row>
    <row r="4" spans="1:24" hidden="1" x14ac:dyDescent="0.35">
      <c r="A4" s="2" t="s">
        <v>27</v>
      </c>
      <c r="B4" s="1">
        <v>16</v>
      </c>
      <c r="C4" s="2" t="s">
        <v>29</v>
      </c>
      <c r="D4" s="8"/>
      <c r="E4" s="8"/>
      <c r="F4" s="8"/>
      <c r="J4" s="2" t="s">
        <v>30</v>
      </c>
      <c r="K4" s="2" t="s">
        <v>31</v>
      </c>
      <c r="L4" s="2" t="s">
        <v>32</v>
      </c>
      <c r="M4" s="2" t="s">
        <v>16</v>
      </c>
      <c r="N4" s="2" t="s">
        <v>33</v>
      </c>
      <c r="O4" s="2" t="s">
        <v>18</v>
      </c>
      <c r="P4" s="2" t="s">
        <v>34</v>
      </c>
      <c r="Q4" s="2" t="s">
        <v>27</v>
      </c>
      <c r="R4" s="2" t="s">
        <v>27</v>
      </c>
    </row>
    <row r="5" spans="1:24" ht="29" x14ac:dyDescent="0.35">
      <c r="A5" t="s">
        <v>225</v>
      </c>
      <c r="B5" s="1">
        <v>10</v>
      </c>
      <c r="C5" s="10" t="s">
        <v>35</v>
      </c>
      <c r="D5" s="36"/>
      <c r="E5" s="14"/>
      <c r="F5" s="13"/>
      <c r="G5" s="5">
        <f>B5*$C$30</f>
        <v>50</v>
      </c>
      <c r="H5" s="22">
        <v>50</v>
      </c>
      <c r="I5" s="5"/>
      <c r="J5" s="2" t="s">
        <v>224</v>
      </c>
      <c r="K5" s="31" t="s">
        <v>190</v>
      </c>
      <c r="L5" s="2" t="s">
        <v>223</v>
      </c>
      <c r="M5" s="2" t="s">
        <v>16</v>
      </c>
      <c r="N5" s="2" t="s">
        <v>36</v>
      </c>
      <c r="O5" s="2" t="s">
        <v>18</v>
      </c>
      <c r="P5" s="2" t="s">
        <v>37</v>
      </c>
      <c r="Q5" s="2" t="s">
        <v>27</v>
      </c>
      <c r="R5" s="2" t="s">
        <v>27</v>
      </c>
      <c r="U5" t="s">
        <v>189</v>
      </c>
      <c r="V5" t="s">
        <v>190</v>
      </c>
      <c r="W5" s="20" t="s">
        <v>191</v>
      </c>
      <c r="X5" s="21" t="s">
        <v>192</v>
      </c>
    </row>
    <row r="6" spans="1:24" ht="29" x14ac:dyDescent="0.35">
      <c r="A6" s="2" t="s">
        <v>44</v>
      </c>
      <c r="B6" s="1">
        <v>10</v>
      </c>
      <c r="C6" s="10" t="s">
        <v>38</v>
      </c>
      <c r="D6" s="37">
        <f>E6*G6</f>
        <v>12.5</v>
      </c>
      <c r="E6" s="15">
        <v>0.25</v>
      </c>
      <c r="F6" s="17">
        <v>0.35</v>
      </c>
      <c r="G6" s="5">
        <f>B6*$C$30</f>
        <v>50</v>
      </c>
      <c r="H6" s="22">
        <v>150</v>
      </c>
      <c r="I6" s="19">
        <f>H6*E6</f>
        <v>37.5</v>
      </c>
      <c r="J6" s="2" t="s">
        <v>39</v>
      </c>
      <c r="K6" s="2" t="s">
        <v>40</v>
      </c>
      <c r="L6" s="2" t="s">
        <v>41</v>
      </c>
      <c r="M6" s="2" t="s">
        <v>16</v>
      </c>
      <c r="N6" s="2" t="s">
        <v>42</v>
      </c>
      <c r="O6" s="2" t="s">
        <v>18</v>
      </c>
      <c r="P6" s="2" t="s">
        <v>43</v>
      </c>
      <c r="Q6" s="2" t="s">
        <v>27</v>
      </c>
      <c r="R6" s="2" t="s">
        <v>27</v>
      </c>
    </row>
    <row r="7" spans="1:24" x14ac:dyDescent="0.35">
      <c r="A7" s="2" t="s">
        <v>53</v>
      </c>
      <c r="B7" s="1">
        <v>3</v>
      </c>
      <c r="C7" s="2" t="s">
        <v>45</v>
      </c>
      <c r="D7" s="8"/>
      <c r="E7" s="8"/>
      <c r="F7" s="8"/>
      <c r="J7" s="2" t="s">
        <v>46</v>
      </c>
      <c r="K7" s="2" t="s">
        <v>47</v>
      </c>
      <c r="L7" s="2" t="s">
        <v>27</v>
      </c>
      <c r="M7" s="2" t="s">
        <v>48</v>
      </c>
      <c r="N7" s="2" t="s">
        <v>49</v>
      </c>
      <c r="O7" s="2" t="s">
        <v>18</v>
      </c>
      <c r="P7" s="2" t="s">
        <v>50</v>
      </c>
      <c r="Q7" s="2" t="s">
        <v>51</v>
      </c>
      <c r="R7" s="2" t="s">
        <v>52</v>
      </c>
    </row>
    <row r="8" spans="1:24" x14ac:dyDescent="0.35">
      <c r="A8" s="2" t="s">
        <v>27</v>
      </c>
      <c r="B8" s="1">
        <v>3</v>
      </c>
      <c r="C8" s="2" t="s">
        <v>54</v>
      </c>
      <c r="D8" s="8"/>
      <c r="E8" s="8"/>
      <c r="F8" s="8"/>
      <c r="J8" s="2" t="s">
        <v>55</v>
      </c>
      <c r="K8" s="2" t="s">
        <v>56</v>
      </c>
      <c r="L8" s="2" t="s">
        <v>57</v>
      </c>
      <c r="M8" s="2" t="s">
        <v>27</v>
      </c>
      <c r="N8" s="2" t="s">
        <v>58</v>
      </c>
      <c r="O8" s="2" t="s">
        <v>18</v>
      </c>
      <c r="P8" s="2" t="s">
        <v>59</v>
      </c>
      <c r="Q8" s="2" t="s">
        <v>27</v>
      </c>
      <c r="R8" s="2" t="s">
        <v>27</v>
      </c>
    </row>
    <row r="9" spans="1:24" x14ac:dyDescent="0.35">
      <c r="A9" t="s">
        <v>185</v>
      </c>
      <c r="B9" s="1">
        <v>2</v>
      </c>
      <c r="C9" s="10" t="s">
        <v>60</v>
      </c>
      <c r="D9" s="36"/>
      <c r="E9" s="14"/>
      <c r="F9" s="15">
        <v>1.2</v>
      </c>
      <c r="G9" s="5">
        <f t="shared" ref="G9:G15" si="0">B9*$C$30</f>
        <v>10</v>
      </c>
      <c r="H9" s="22">
        <v>30</v>
      </c>
      <c r="I9" s="19">
        <f>H9*F9</f>
        <v>36</v>
      </c>
      <c r="J9" s="2" t="s">
        <v>61</v>
      </c>
      <c r="K9" s="2" t="s">
        <v>62</v>
      </c>
      <c r="L9" s="2" t="s">
        <v>27</v>
      </c>
      <c r="M9" s="2" t="s">
        <v>48</v>
      </c>
      <c r="N9" s="2" t="s">
        <v>62</v>
      </c>
      <c r="O9" s="2" t="s">
        <v>18</v>
      </c>
      <c r="P9" s="2" t="s">
        <v>63</v>
      </c>
      <c r="Q9" s="2" t="s">
        <v>27</v>
      </c>
      <c r="R9" s="2" t="s">
        <v>27</v>
      </c>
    </row>
    <row r="10" spans="1:24" x14ac:dyDescent="0.35">
      <c r="A10" t="s">
        <v>183</v>
      </c>
      <c r="B10" s="1">
        <v>1</v>
      </c>
      <c r="C10" s="10" t="s">
        <v>64</v>
      </c>
      <c r="D10" s="36"/>
      <c r="E10" s="14"/>
      <c r="F10" s="13">
        <v>1.52</v>
      </c>
      <c r="G10" s="5">
        <f t="shared" si="0"/>
        <v>5</v>
      </c>
      <c r="H10" s="22">
        <v>15</v>
      </c>
      <c r="I10" s="19">
        <f>H10*F10</f>
        <v>22.8</v>
      </c>
      <c r="J10" s="2" t="s">
        <v>65</v>
      </c>
      <c r="K10" s="2" t="s">
        <v>66</v>
      </c>
      <c r="L10" s="2" t="s">
        <v>67</v>
      </c>
      <c r="M10" s="2" t="s">
        <v>68</v>
      </c>
      <c r="N10" s="2" t="s">
        <v>69</v>
      </c>
      <c r="O10" s="2" t="s">
        <v>70</v>
      </c>
      <c r="P10" s="2" t="s">
        <v>71</v>
      </c>
      <c r="Q10" s="2" t="s">
        <v>51</v>
      </c>
      <c r="R10" s="2" t="s">
        <v>72</v>
      </c>
    </row>
    <row r="11" spans="1:24" x14ac:dyDescent="0.35">
      <c r="A11" s="1"/>
      <c r="B11" s="1">
        <v>1</v>
      </c>
      <c r="C11" s="10" t="s">
        <v>73</v>
      </c>
      <c r="D11" s="36"/>
      <c r="E11" s="14"/>
      <c r="F11" s="15">
        <v>7.78</v>
      </c>
      <c r="G11" s="5">
        <f t="shared" si="0"/>
        <v>5</v>
      </c>
      <c r="H11" s="22">
        <v>10</v>
      </c>
      <c r="I11" s="19">
        <f>H11*F11</f>
        <v>77.8</v>
      </c>
      <c r="J11" s="2" t="s">
        <v>74</v>
      </c>
      <c r="K11" s="2" t="s">
        <v>75</v>
      </c>
      <c r="L11" s="2" t="s">
        <v>76</v>
      </c>
      <c r="M11" s="2" t="s">
        <v>77</v>
      </c>
      <c r="N11" s="2" t="s">
        <v>69</v>
      </c>
      <c r="O11" s="2" t="s">
        <v>70</v>
      </c>
      <c r="P11" s="2" t="s">
        <v>78</v>
      </c>
      <c r="Q11" s="2" t="s">
        <v>51</v>
      </c>
      <c r="R11" s="2" t="s">
        <v>79</v>
      </c>
    </row>
    <row r="12" spans="1:24" x14ac:dyDescent="0.35">
      <c r="A12" t="s">
        <v>184</v>
      </c>
      <c r="B12" s="1">
        <v>3</v>
      </c>
      <c r="C12" s="10" t="s">
        <v>80</v>
      </c>
      <c r="D12" s="36"/>
      <c r="E12" s="14"/>
      <c r="F12" s="13">
        <v>1.52</v>
      </c>
      <c r="G12" s="5">
        <f t="shared" si="0"/>
        <v>15</v>
      </c>
      <c r="H12" s="22">
        <v>20</v>
      </c>
      <c r="I12" s="19">
        <f>H12*F12</f>
        <v>30.4</v>
      </c>
      <c r="J12" s="2" t="s">
        <v>81</v>
      </c>
      <c r="K12" s="2" t="s">
        <v>82</v>
      </c>
      <c r="L12" s="2" t="s">
        <v>83</v>
      </c>
      <c r="M12" s="2" t="s">
        <v>84</v>
      </c>
      <c r="N12" s="2" t="s">
        <v>69</v>
      </c>
      <c r="O12" s="2" t="s">
        <v>70</v>
      </c>
      <c r="P12" s="2" t="s">
        <v>85</v>
      </c>
      <c r="Q12" s="2" t="s">
        <v>51</v>
      </c>
      <c r="R12" s="2" t="s">
        <v>86</v>
      </c>
    </row>
    <row r="13" spans="1:24" ht="58" x14ac:dyDescent="0.35">
      <c r="A13" s="2" t="s">
        <v>95</v>
      </c>
      <c r="B13" s="1">
        <v>25</v>
      </c>
      <c r="C13" s="10" t="s">
        <v>87</v>
      </c>
      <c r="D13" s="36"/>
      <c r="E13" s="14"/>
      <c r="F13" s="13">
        <v>0.14000000000000001</v>
      </c>
      <c r="G13" s="5">
        <f t="shared" si="0"/>
        <v>125</v>
      </c>
      <c r="H13" s="22">
        <v>150</v>
      </c>
      <c r="I13" s="19">
        <f>H13*F13</f>
        <v>21.000000000000004</v>
      </c>
      <c r="J13" s="2" t="s">
        <v>88</v>
      </c>
      <c r="K13" s="2" t="s">
        <v>89</v>
      </c>
      <c r="L13" s="2" t="s">
        <v>90</v>
      </c>
      <c r="M13" s="2" t="s">
        <v>48</v>
      </c>
      <c r="N13" s="2" t="s">
        <v>91</v>
      </c>
      <c r="O13" s="2" t="s">
        <v>18</v>
      </c>
      <c r="P13" s="2" t="s">
        <v>92</v>
      </c>
      <c r="Q13" s="2" t="s">
        <v>93</v>
      </c>
      <c r="R13" s="2" t="s">
        <v>94</v>
      </c>
    </row>
    <row r="14" spans="1:24" x14ac:dyDescent="0.35">
      <c r="A14" s="2" t="s">
        <v>103</v>
      </c>
      <c r="B14" s="1">
        <v>6</v>
      </c>
      <c r="C14" s="10" t="s">
        <v>96</v>
      </c>
      <c r="D14" s="36"/>
      <c r="E14" s="18"/>
      <c r="F14" s="13">
        <v>4.8</v>
      </c>
      <c r="G14" s="5">
        <f t="shared" si="0"/>
        <v>30</v>
      </c>
      <c r="H14" s="22">
        <v>30</v>
      </c>
      <c r="I14" s="5"/>
      <c r="J14" s="2" t="s">
        <v>97</v>
      </c>
      <c r="K14" s="2" t="s">
        <v>98</v>
      </c>
      <c r="L14" s="2" t="s">
        <v>99</v>
      </c>
      <c r="M14" s="2" t="s">
        <v>48</v>
      </c>
      <c r="N14" s="2" t="s">
        <v>100</v>
      </c>
      <c r="O14" s="2" t="s">
        <v>18</v>
      </c>
      <c r="P14" s="2" t="s">
        <v>101</v>
      </c>
      <c r="Q14" s="2" t="s">
        <v>93</v>
      </c>
      <c r="R14" s="2" t="s">
        <v>102</v>
      </c>
    </row>
    <row r="15" spans="1:24" x14ac:dyDescent="0.35">
      <c r="A15" s="2" t="s">
        <v>27</v>
      </c>
      <c r="B15" s="1">
        <v>6</v>
      </c>
      <c r="C15" s="10" t="s">
        <v>104</v>
      </c>
      <c r="D15" s="37">
        <f>E15*G15</f>
        <v>37.200000000000003</v>
      </c>
      <c r="E15" s="15">
        <v>1.24</v>
      </c>
      <c r="F15" s="12">
        <v>1.55</v>
      </c>
      <c r="G15" s="5">
        <f t="shared" si="0"/>
        <v>30</v>
      </c>
      <c r="H15" s="22">
        <f>'win-source order'!C4</f>
        <v>100</v>
      </c>
      <c r="I15" s="19">
        <f>H15*E15</f>
        <v>124</v>
      </c>
      <c r="J15" s="2" t="s">
        <v>105</v>
      </c>
      <c r="K15" s="2" t="s">
        <v>106</v>
      </c>
      <c r="L15" s="2" t="s">
        <v>107</v>
      </c>
      <c r="M15" s="2" t="s">
        <v>48</v>
      </c>
      <c r="N15" s="2" t="s">
        <v>106</v>
      </c>
      <c r="O15" s="2" t="s">
        <v>18</v>
      </c>
      <c r="P15" s="2" t="s">
        <v>108</v>
      </c>
      <c r="Q15" s="2" t="s">
        <v>109</v>
      </c>
      <c r="R15" s="2" t="s">
        <v>110</v>
      </c>
    </row>
    <row r="16" spans="1:24" hidden="1" x14ac:dyDescent="0.35">
      <c r="A16" s="2" t="s">
        <v>119</v>
      </c>
      <c r="B16" s="1">
        <v>135</v>
      </c>
      <c r="C16" s="2" t="s">
        <v>111</v>
      </c>
      <c r="D16" s="8"/>
      <c r="E16" s="8" t="s">
        <v>188</v>
      </c>
      <c r="F16" s="8"/>
      <c r="J16" s="2" t="s">
        <v>112</v>
      </c>
      <c r="K16" s="2" t="s">
        <v>113</v>
      </c>
      <c r="L16" s="2" t="s">
        <v>114</v>
      </c>
      <c r="M16" s="2" t="s">
        <v>16</v>
      </c>
      <c r="N16" s="2" t="s">
        <v>115</v>
      </c>
      <c r="O16" s="2" t="s">
        <v>18</v>
      </c>
      <c r="P16" s="2" t="s">
        <v>116</v>
      </c>
      <c r="Q16" s="2" t="s">
        <v>117</v>
      </c>
      <c r="R16" s="2" t="s">
        <v>118</v>
      </c>
    </row>
    <row r="17" spans="1:18" x14ac:dyDescent="0.35">
      <c r="A17" s="2" t="s">
        <v>126</v>
      </c>
      <c r="B17" s="1">
        <v>4</v>
      </c>
      <c r="C17" s="2" t="s">
        <v>120</v>
      </c>
      <c r="D17" s="37">
        <f>E17*G17</f>
        <v>8.1999999999999993</v>
      </c>
      <c r="E17" s="15">
        <v>0.41</v>
      </c>
      <c r="F17" s="8"/>
      <c r="G17" s="5">
        <f t="shared" ref="G17" si="1">B17*$C$30</f>
        <v>20</v>
      </c>
      <c r="H17" s="22">
        <v>100</v>
      </c>
      <c r="I17" s="19">
        <f>H17*E17</f>
        <v>41</v>
      </c>
      <c r="J17" s="2" t="s">
        <v>121</v>
      </c>
      <c r="K17" s="2" t="s">
        <v>122</v>
      </c>
      <c r="L17" s="2" t="s">
        <v>123</v>
      </c>
      <c r="M17" s="2" t="s">
        <v>16</v>
      </c>
      <c r="N17" s="2" t="s">
        <v>124</v>
      </c>
      <c r="O17" s="2" t="s">
        <v>18</v>
      </c>
      <c r="P17" s="2" t="s">
        <v>125</v>
      </c>
      <c r="Q17" s="2" t="s">
        <v>27</v>
      </c>
      <c r="R17" s="2" t="s">
        <v>27</v>
      </c>
    </row>
    <row r="18" spans="1:18" hidden="1" x14ac:dyDescent="0.35">
      <c r="A18" s="2" t="s">
        <v>133</v>
      </c>
      <c r="B18" s="1">
        <v>6</v>
      </c>
      <c r="C18" s="2" t="s">
        <v>127</v>
      </c>
      <c r="D18" s="8"/>
      <c r="E18" s="8"/>
      <c r="F18" s="8"/>
      <c r="J18" s="2" t="s">
        <v>128</v>
      </c>
      <c r="K18" s="2" t="s">
        <v>129</v>
      </c>
      <c r="L18" s="2" t="s">
        <v>130</v>
      </c>
      <c r="M18" s="2" t="s">
        <v>16</v>
      </c>
      <c r="N18" s="2" t="s">
        <v>131</v>
      </c>
      <c r="O18" s="2" t="s">
        <v>18</v>
      </c>
      <c r="P18" s="2" t="s">
        <v>132</v>
      </c>
      <c r="Q18" s="2" t="s">
        <v>27</v>
      </c>
      <c r="R18" s="2" t="s">
        <v>27</v>
      </c>
    </row>
    <row r="19" spans="1:18" hidden="1" x14ac:dyDescent="0.35">
      <c r="A19" s="2" t="s">
        <v>27</v>
      </c>
      <c r="B19" s="1">
        <v>6</v>
      </c>
      <c r="C19" s="2" t="s">
        <v>134</v>
      </c>
      <c r="D19" s="8"/>
      <c r="E19" s="8"/>
      <c r="F19" s="8"/>
      <c r="J19" s="2" t="s">
        <v>135</v>
      </c>
      <c r="K19" s="2" t="s">
        <v>136</v>
      </c>
      <c r="L19" s="2" t="s">
        <v>137</v>
      </c>
      <c r="M19" s="2" t="s">
        <v>16</v>
      </c>
      <c r="N19" s="2" t="s">
        <v>138</v>
      </c>
      <c r="O19" s="2" t="s">
        <v>18</v>
      </c>
      <c r="P19" s="2" t="s">
        <v>139</v>
      </c>
      <c r="Q19" s="2" t="s">
        <v>27</v>
      </c>
      <c r="R19" s="2" t="s">
        <v>27</v>
      </c>
    </row>
    <row r="20" spans="1:18" hidden="1" x14ac:dyDescent="0.35">
      <c r="A20" s="2" t="s">
        <v>27</v>
      </c>
      <c r="B20" s="1">
        <v>5</v>
      </c>
      <c r="C20" s="2" t="s">
        <v>140</v>
      </c>
      <c r="D20" s="8"/>
      <c r="E20" s="8"/>
      <c r="F20" s="8"/>
      <c r="J20" s="2" t="s">
        <v>141</v>
      </c>
      <c r="K20" s="2" t="s">
        <v>142</v>
      </c>
      <c r="L20" s="2" t="s">
        <v>141</v>
      </c>
      <c r="M20" s="2" t="s">
        <v>16</v>
      </c>
      <c r="N20" s="2" t="s">
        <v>143</v>
      </c>
      <c r="O20" s="2" t="s">
        <v>142</v>
      </c>
      <c r="P20" s="2" t="s">
        <v>142</v>
      </c>
      <c r="Q20" s="2" t="s">
        <v>27</v>
      </c>
      <c r="R20" s="2" t="s">
        <v>27</v>
      </c>
    </row>
    <row r="21" spans="1:18" x14ac:dyDescent="0.35">
      <c r="A21" s="2" t="s">
        <v>149</v>
      </c>
      <c r="B21" s="1">
        <v>4</v>
      </c>
      <c r="C21" s="10" t="s">
        <v>144</v>
      </c>
      <c r="D21" s="37">
        <f t="shared" ref="D21:D22" si="2">E21*G21</f>
        <v>83.2</v>
      </c>
      <c r="E21" s="15">
        <v>4.16</v>
      </c>
      <c r="F21" s="8"/>
      <c r="G21" s="5">
        <f t="shared" ref="G21:G26" si="3">B21*$C$30</f>
        <v>20</v>
      </c>
      <c r="H21" s="22">
        <v>20</v>
      </c>
      <c r="I21" s="19">
        <f>H21*E21</f>
        <v>83.2</v>
      </c>
      <c r="J21" s="2" t="s">
        <v>145</v>
      </c>
      <c r="K21" s="2" t="s">
        <v>146</v>
      </c>
      <c r="L21" s="2" t="s">
        <v>27</v>
      </c>
      <c r="M21" s="2" t="s">
        <v>27</v>
      </c>
      <c r="N21" s="2" t="s">
        <v>147</v>
      </c>
      <c r="O21" s="2" t="s">
        <v>18</v>
      </c>
      <c r="P21" s="2" t="s">
        <v>148</v>
      </c>
      <c r="Q21" s="2" t="s">
        <v>27</v>
      </c>
      <c r="R21" s="2" t="s">
        <v>27</v>
      </c>
    </row>
    <row r="22" spans="1:18" ht="29" x14ac:dyDescent="0.35">
      <c r="A22" s="2" t="s">
        <v>156</v>
      </c>
      <c r="B22" s="1">
        <v>8</v>
      </c>
      <c r="C22" s="10" t="s">
        <v>150</v>
      </c>
      <c r="D22" s="37">
        <f t="shared" si="2"/>
        <v>81.199999999999989</v>
      </c>
      <c r="E22" s="15">
        <v>2.0299999999999998</v>
      </c>
      <c r="F22" s="18">
        <v>3.25</v>
      </c>
      <c r="G22" s="5">
        <f t="shared" si="3"/>
        <v>40</v>
      </c>
      <c r="H22" s="22">
        <f>'win-source order'!C6</f>
        <v>120</v>
      </c>
      <c r="I22" s="19">
        <f>H22*E22</f>
        <v>243.59999999999997</v>
      </c>
      <c r="J22" s="2" t="s">
        <v>151</v>
      </c>
      <c r="K22" s="2" t="s">
        <v>152</v>
      </c>
      <c r="L22" s="2" t="s">
        <v>27</v>
      </c>
      <c r="M22" s="2" t="s">
        <v>48</v>
      </c>
      <c r="N22" s="2" t="s">
        <v>153</v>
      </c>
      <c r="O22" s="2" t="s">
        <v>18</v>
      </c>
      <c r="P22" s="2" t="s">
        <v>154</v>
      </c>
      <c r="Q22" s="2" t="s">
        <v>93</v>
      </c>
      <c r="R22" s="2" t="s">
        <v>155</v>
      </c>
    </row>
    <row r="23" spans="1:18" x14ac:dyDescent="0.35">
      <c r="A23" s="2" t="s">
        <v>163</v>
      </c>
      <c r="B23" s="1">
        <v>6</v>
      </c>
      <c r="C23" s="10" t="s">
        <v>157</v>
      </c>
      <c r="D23" s="36"/>
      <c r="F23" s="15">
        <v>1.4</v>
      </c>
      <c r="G23" s="5">
        <f t="shared" si="3"/>
        <v>30</v>
      </c>
      <c r="H23" s="22">
        <v>30</v>
      </c>
      <c r="I23" s="19">
        <f>H23*F23</f>
        <v>42</v>
      </c>
      <c r="J23" s="2" t="s">
        <v>158</v>
      </c>
      <c r="K23" s="31" t="s">
        <v>222</v>
      </c>
      <c r="L23" s="2" t="s">
        <v>27</v>
      </c>
      <c r="M23" s="2" t="s">
        <v>48</v>
      </c>
      <c r="N23" s="2" t="s">
        <v>160</v>
      </c>
      <c r="O23" s="2" t="s">
        <v>18</v>
      </c>
      <c r="P23" s="2" t="s">
        <v>161</v>
      </c>
      <c r="Q23" s="2" t="s">
        <v>93</v>
      </c>
      <c r="R23" s="2" t="s">
        <v>162</v>
      </c>
    </row>
    <row r="24" spans="1:18" x14ac:dyDescent="0.35">
      <c r="A24" s="2" t="s">
        <v>168</v>
      </c>
      <c r="B24" s="1">
        <v>6</v>
      </c>
      <c r="C24" s="10" t="s">
        <v>164</v>
      </c>
      <c r="D24" s="37">
        <f t="shared" ref="D24:D25" si="4">E24*G24</f>
        <v>118.5</v>
      </c>
      <c r="E24" s="15">
        <v>3.95</v>
      </c>
      <c r="F24" s="8"/>
      <c r="G24" s="5">
        <f>B24*$C$30</f>
        <v>30</v>
      </c>
      <c r="H24" s="22">
        <v>30</v>
      </c>
      <c r="I24" s="19">
        <f>H24*E24</f>
        <v>118.5</v>
      </c>
      <c r="J24" s="2" t="s">
        <v>165</v>
      </c>
      <c r="K24" s="31" t="s">
        <v>214</v>
      </c>
      <c r="L24" s="2" t="s">
        <v>27</v>
      </c>
      <c r="M24" s="2" t="s">
        <v>48</v>
      </c>
      <c r="N24" s="2" t="s">
        <v>166</v>
      </c>
      <c r="O24" s="2" t="s">
        <v>18</v>
      </c>
      <c r="P24" s="2" t="s">
        <v>167</v>
      </c>
      <c r="Q24" s="2" t="s">
        <v>27</v>
      </c>
      <c r="R24" s="2" t="s">
        <v>27</v>
      </c>
    </row>
    <row r="25" spans="1:18" x14ac:dyDescent="0.35">
      <c r="A25" s="2" t="s">
        <v>27</v>
      </c>
      <c r="B25" s="1">
        <v>3</v>
      </c>
      <c r="C25" s="10" t="s">
        <v>169</v>
      </c>
      <c r="D25" s="37">
        <f t="shared" si="4"/>
        <v>15.450000000000001</v>
      </c>
      <c r="E25" s="15">
        <v>1.03</v>
      </c>
      <c r="F25" s="8"/>
      <c r="G25" s="5">
        <f t="shared" si="3"/>
        <v>15</v>
      </c>
      <c r="H25" s="22">
        <f>'win-source order'!C9</f>
        <v>50</v>
      </c>
      <c r="I25" s="19">
        <f>H25*E25</f>
        <v>51.5</v>
      </c>
      <c r="J25" s="2" t="s">
        <v>170</v>
      </c>
      <c r="K25" s="2" t="s">
        <v>171</v>
      </c>
      <c r="L25" s="2" t="s">
        <v>27</v>
      </c>
      <c r="M25" s="2" t="s">
        <v>48</v>
      </c>
      <c r="N25" s="2" t="s">
        <v>171</v>
      </c>
      <c r="O25" s="2" t="s">
        <v>18</v>
      </c>
      <c r="P25" s="2" t="s">
        <v>172</v>
      </c>
      <c r="Q25" s="2" t="s">
        <v>27</v>
      </c>
      <c r="R25" s="2" t="s">
        <v>27</v>
      </c>
    </row>
    <row r="26" spans="1:18" x14ac:dyDescent="0.35">
      <c r="A26" s="2" t="s">
        <v>178</v>
      </c>
      <c r="B26" s="1">
        <v>1</v>
      </c>
      <c r="C26" s="10" t="s">
        <v>173</v>
      </c>
      <c r="D26" s="36"/>
      <c r="E26" s="8"/>
      <c r="F26" s="15">
        <v>0.13</v>
      </c>
      <c r="G26" s="5">
        <f t="shared" si="3"/>
        <v>5</v>
      </c>
      <c r="H26" s="22">
        <v>50</v>
      </c>
      <c r="I26" s="19">
        <f>H26*F26</f>
        <v>6.5</v>
      </c>
      <c r="J26" s="2" t="s">
        <v>174</v>
      </c>
      <c r="K26" s="2" t="s">
        <v>175</v>
      </c>
      <c r="L26" s="1"/>
      <c r="M26" s="2" t="s">
        <v>48</v>
      </c>
      <c r="N26" s="2" t="s">
        <v>176</v>
      </c>
      <c r="O26" s="2" t="s">
        <v>18</v>
      </c>
      <c r="P26" s="2" t="s">
        <v>177</v>
      </c>
      <c r="Q26" s="1"/>
      <c r="R26" s="1"/>
    </row>
    <row r="27" spans="1:18" x14ac:dyDescent="0.35">
      <c r="C27" s="11"/>
      <c r="D27" s="11"/>
    </row>
    <row r="28" spans="1:18" x14ac:dyDescent="0.35">
      <c r="C28" s="11"/>
      <c r="D28" s="11"/>
    </row>
    <row r="29" spans="1:18" x14ac:dyDescent="0.35">
      <c r="C29" s="11"/>
      <c r="D29" s="11"/>
    </row>
    <row r="30" spans="1:18" x14ac:dyDescent="0.35">
      <c r="B30" s="5" t="s">
        <v>180</v>
      </c>
      <c r="C30" s="5">
        <v>5</v>
      </c>
      <c r="D30" s="5">
        <f>SUM(D5:D29)</f>
        <v>356.25</v>
      </c>
      <c r="I30" s="19">
        <f>SUM(I5:I29)</f>
        <v>935.8</v>
      </c>
    </row>
    <row r="32" spans="1:18" x14ac:dyDescent="0.35">
      <c r="E32" s="16"/>
    </row>
    <row r="33" spans="3:7" x14ac:dyDescent="0.35">
      <c r="G33">
        <f>125*3</f>
        <v>375</v>
      </c>
    </row>
    <row r="36" spans="3:7" x14ac:dyDescent="0.35">
      <c r="C36" s="16"/>
      <c r="D36" s="16"/>
    </row>
  </sheetData>
  <autoFilter ref="B1:S26" xr:uid="{EF2E5A5C-2B03-424E-BA44-AFB38E8D7EB7}">
    <filterColumn colId="1">
      <filters>
        <filter val="C40, C41, C42, C43, C44, C45, C46, C47, C48, C49"/>
        <filter val="C81, C82, C83, C85, C86, C87, C88, C89, C90, C91"/>
        <filter val="D1, D2, D3"/>
        <filter val="F1, F2, F3"/>
        <filter val="J1, J2"/>
        <filter val="J3"/>
        <filter val="J4"/>
        <filter val="J5, J6, J7"/>
        <filter val="L1A, L1B, L1C, L2A, L2B, L2C, L3A, L3B, L3C, L4A, L4B, L4C, L5A, L5B, L5C, L6, L7, L8, L9A, L9B, L9C, L10A, L10B, L10C, L12"/>
        <filter val="PS1A, PS1B, PS1C, PS2A, PS2B, PS2C"/>
        <filter val="Q1A, Q1B, Q1C, Q2A, Q2B, Q2C"/>
        <filter val="R10A, R10B, R10C, R50"/>
        <filter val="U13"/>
        <filter val="U2A, U2B, U2C, U11"/>
        <filter val="U3A, U3B, U3C, U4A, U4B, U4C, U10, U12"/>
        <filter val="U5A, U5B, U5C, U9A, U9B, U9C"/>
        <filter val="U6A, U6B, U6C, U8A, U8B, U8C"/>
        <filter val="U7A, U7B, U7C"/>
      </filters>
    </filterColumn>
  </autoFilter>
  <hyperlinks>
    <hyperlink ref="W5" r:id="rId1" display="https://www.lcsc.com/product-detail/Aluminum-Electrolytic-Capacitors-SMD_Vishay-Intertech-MAL215099907E3_C1984845.html" xr:uid="{452CC0EA-8F1F-4817-975B-A4F9D03D6520}"/>
  </hyperlinks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E9DB-6A9A-4A8B-AA62-AD8D1B249CBB}">
  <dimension ref="A1:H13"/>
  <sheetViews>
    <sheetView workbookViewId="0">
      <selection activeCell="A12" sqref="A12"/>
    </sheetView>
  </sheetViews>
  <sheetFormatPr baseColWidth="10" defaultRowHeight="14.5" x14ac:dyDescent="0.35"/>
  <cols>
    <col min="2" max="2" width="21.453125" bestFit="1" customWidth="1"/>
  </cols>
  <sheetData>
    <row r="1" spans="1:8" ht="29" customHeight="1" x14ac:dyDescent="0.35">
      <c r="A1" s="32" t="s">
        <v>216</v>
      </c>
      <c r="B1" s="33" t="s">
        <v>194</v>
      </c>
      <c r="C1" s="23" t="s">
        <v>0</v>
      </c>
      <c r="D1" s="33" t="s">
        <v>198</v>
      </c>
      <c r="E1" s="33" t="s">
        <v>199</v>
      </c>
      <c r="G1" s="23" t="s">
        <v>196</v>
      </c>
      <c r="H1" t="s">
        <v>221</v>
      </c>
    </row>
    <row r="2" spans="1:8" x14ac:dyDescent="0.35">
      <c r="A2" s="32"/>
      <c r="B2" s="34"/>
      <c r="C2" s="24" t="s">
        <v>195</v>
      </c>
      <c r="D2" s="34"/>
      <c r="E2" s="34"/>
      <c r="F2" t="s">
        <v>215</v>
      </c>
      <c r="G2" s="24" t="s">
        <v>197</v>
      </c>
      <c r="H2" s="5" t="s">
        <v>217</v>
      </c>
    </row>
    <row r="3" spans="1:8" x14ac:dyDescent="0.35">
      <c r="A3" s="5">
        <v>50</v>
      </c>
      <c r="B3" s="25" t="s">
        <v>40</v>
      </c>
      <c r="C3" s="27">
        <v>150</v>
      </c>
      <c r="D3" s="25" t="s">
        <v>200</v>
      </c>
      <c r="E3" s="25" t="s">
        <v>201</v>
      </c>
      <c r="F3" s="28">
        <f t="shared" ref="F3:F9" si="0">G3*C3</f>
        <v>37.5</v>
      </c>
      <c r="G3" s="26">
        <v>0.25</v>
      </c>
      <c r="H3" t="s">
        <v>44</v>
      </c>
    </row>
    <row r="4" spans="1:8" x14ac:dyDescent="0.35">
      <c r="A4" s="5">
        <v>30</v>
      </c>
      <c r="B4" s="25" t="s">
        <v>202</v>
      </c>
      <c r="C4" s="27">
        <v>100</v>
      </c>
      <c r="D4" s="25" t="s">
        <v>203</v>
      </c>
      <c r="E4" s="25" t="s">
        <v>204</v>
      </c>
      <c r="F4" s="28">
        <f t="shared" si="0"/>
        <v>124</v>
      </c>
      <c r="G4" s="26">
        <v>1.24</v>
      </c>
      <c r="H4" t="s">
        <v>219</v>
      </c>
    </row>
    <row r="5" spans="1:8" x14ac:dyDescent="0.35">
      <c r="A5" s="5">
        <v>20</v>
      </c>
      <c r="B5" s="25" t="s">
        <v>146</v>
      </c>
      <c r="C5" s="27">
        <v>20</v>
      </c>
      <c r="D5" s="25" t="s">
        <v>205</v>
      </c>
      <c r="E5" s="25" t="s">
        <v>206</v>
      </c>
      <c r="F5" s="28">
        <f t="shared" si="0"/>
        <v>83.2</v>
      </c>
      <c r="G5" s="26">
        <v>4.16</v>
      </c>
      <c r="H5" t="s">
        <v>149</v>
      </c>
    </row>
    <row r="6" spans="1:8" x14ac:dyDescent="0.35">
      <c r="A6" s="5">
        <v>40</v>
      </c>
      <c r="B6" s="25" t="s">
        <v>152</v>
      </c>
      <c r="C6" s="27">
        <v>120</v>
      </c>
      <c r="D6" s="25" t="s">
        <v>207</v>
      </c>
      <c r="E6" s="25" t="s">
        <v>208</v>
      </c>
      <c r="F6" s="28">
        <f t="shared" si="0"/>
        <v>243.59999999999997</v>
      </c>
      <c r="G6" s="26">
        <v>2.0299999999999998</v>
      </c>
      <c r="H6" t="s">
        <v>156</v>
      </c>
    </row>
    <row r="7" spans="1:8" x14ac:dyDescent="0.35">
      <c r="A7" s="5">
        <v>30</v>
      </c>
      <c r="B7" s="25" t="s">
        <v>159</v>
      </c>
      <c r="C7" s="30">
        <v>13</v>
      </c>
      <c r="D7" s="25" t="s">
        <v>209</v>
      </c>
      <c r="E7" s="25" t="s">
        <v>210</v>
      </c>
      <c r="F7" s="28">
        <f t="shared" si="0"/>
        <v>7.5399999999999991</v>
      </c>
      <c r="G7" s="26">
        <v>0.57999999999999996</v>
      </c>
      <c r="H7" t="s">
        <v>163</v>
      </c>
    </row>
    <row r="8" spans="1:8" x14ac:dyDescent="0.35">
      <c r="A8" s="5">
        <v>30</v>
      </c>
      <c r="B8" t="s">
        <v>214</v>
      </c>
      <c r="C8" s="27">
        <v>30</v>
      </c>
      <c r="D8" s="25" t="s">
        <v>207</v>
      </c>
      <c r="E8" s="25" t="s">
        <v>211</v>
      </c>
      <c r="F8" s="28">
        <f t="shared" si="0"/>
        <v>118.5</v>
      </c>
      <c r="G8" s="26">
        <v>3.95</v>
      </c>
      <c r="H8" t="s">
        <v>220</v>
      </c>
    </row>
    <row r="9" spans="1:8" x14ac:dyDescent="0.35">
      <c r="A9" s="5">
        <v>15</v>
      </c>
      <c r="B9" s="25" t="s">
        <v>212</v>
      </c>
      <c r="C9" s="27">
        <v>50</v>
      </c>
      <c r="D9" s="25" t="s">
        <v>203</v>
      </c>
      <c r="E9" s="25" t="s">
        <v>213</v>
      </c>
      <c r="F9" s="28">
        <f t="shared" si="0"/>
        <v>51.5</v>
      </c>
      <c r="G9" s="26">
        <v>1.03</v>
      </c>
      <c r="H9" t="s">
        <v>218</v>
      </c>
    </row>
    <row r="10" spans="1:8" x14ac:dyDescent="0.35">
      <c r="A10" s="38">
        <v>100</v>
      </c>
    </row>
    <row r="11" spans="1:8" x14ac:dyDescent="0.35">
      <c r="A11" s="38"/>
    </row>
    <row r="12" spans="1:8" x14ac:dyDescent="0.35">
      <c r="A12" s="38"/>
    </row>
    <row r="13" spans="1:8" x14ac:dyDescent="0.35">
      <c r="F13" s="29">
        <f>SUM(F3:F10)</f>
        <v>665.83999999999992</v>
      </c>
    </row>
  </sheetData>
  <mergeCells count="4">
    <mergeCell ref="A1:A2"/>
    <mergeCell ref="B1:B2"/>
    <mergeCell ref="D1:D2"/>
    <mergeCell ref="E1:E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BOM_UZ_D_Inverter_Variant_V1_Re</vt:lpstr>
      <vt:lpstr>win-source order</vt:lpstr>
      <vt:lpstr>BOM_UZ_D_Inverter_Variant_V1_Re!Drucktitel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2024-01-22T16:07:02Z</dcterms:created>
  <dcterms:modified xsi:type="dcterms:W3CDTF">2024-03-05T09:03:57Z</dcterms:modified>
</cp:coreProperties>
</file>