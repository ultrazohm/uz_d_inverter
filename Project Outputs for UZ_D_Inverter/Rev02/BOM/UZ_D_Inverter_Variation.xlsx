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d_inverter\Project Outputs for UZ_D_Inverter\Rev02\BOM\"/>
    </mc:Choice>
  </mc:AlternateContent>
  <xr:revisionPtr revIDLastSave="0" documentId="13_ncr:1_{C077E7CB-859C-4EDD-8F82-838E539448FB}" xr6:coauthVersionLast="47" xr6:coauthVersionMax="47" xr10:uidLastSave="{00000000-0000-0000-0000-000000000000}"/>
  <bookViews>
    <workbookView xWindow="-110" yWindow="-110" windowWidth="19420" windowHeight="11500" xr2:uid="{BC8CFBE3-9E93-408A-91AB-BAFBAC31689E}"/>
  </bookViews>
  <sheets>
    <sheet name="UZ_D_Inverter_Variation" sheetId="1" r:id="rId1"/>
  </sheets>
  <definedNames>
    <definedName name="_xlnm.Print_Titles" localSheetId="0">UZ_D_Inverter_Variation!$1:$1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" i="1"/>
</calcChain>
</file>

<file path=xl/sharedStrings.xml><?xml version="1.0" encoding="utf-8"?>
<sst xmlns="http://schemas.openxmlformats.org/spreadsheetml/2006/main" count="407" uniqueCount="217">
  <si>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</si>
  <si>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</si>
  <si>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</si>
  <si>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</si>
  <si>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</si>
  <si>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</si>
  <si>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</si>
  <si>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</si>
  <si>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</si>
  <si>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</si>
  <si>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C9A, C9B, C9C, C105</t>
  </si>
  <si>
    <t>Capacitor 0603, 25 VDC, 1 µF, X7R</t>
  </si>
  <si>
    <t xml:space="preserve">80-C0603C105K3RLR </t>
  </si>
  <si>
    <t/>
  </si>
  <si>
    <t>=Value</t>
  </si>
  <si>
    <t>C_0603</t>
  </si>
  <si>
    <t>Mouser</t>
  </si>
  <si>
    <t>1 µF</t>
  </si>
  <si>
    <t>C10A, C10B, C10C, C18A, C18B, C18C, C21A, C21B, C21C, C25A, C25B, C25C, C26A, C26B, C26C, C52</t>
  </si>
  <si>
    <t>Capacitor 0603, 25 VDC, 10 nF, C0G</t>
  </si>
  <si>
    <t>80-C0603X103K3GEC</t>
  </si>
  <si>
    <t>10 nF</t>
  </si>
  <si>
    <t>C11A, C11B, C11C, C12A, C12B, C12C, C15A, C15B, C15C, C16A, C16B, C16C, C50, C51, C55, C56</t>
  </si>
  <si>
    <t>Capacitor 0603, 50 VDC, 56 pF, C0G</t>
  </si>
  <si>
    <t>187-CL10C560JB8NNNC</t>
  </si>
  <si>
    <t>=LCSC Part Number</t>
  </si>
  <si>
    <t>LCSC</t>
  </si>
  <si>
    <t>56 pF</t>
  </si>
  <si>
    <t>C13A, C13B, C13C, C53</t>
  </si>
  <si>
    <t>Capacitor 0805, 100 VDC, 4.7 nF, C0G</t>
  </si>
  <si>
    <t>80-C0805C472F1GEAULR</t>
  </si>
  <si>
    <t>C_0805</t>
  </si>
  <si>
    <t>4.7 nF</t>
  </si>
  <si>
    <t>C14A, C14B, C14C, C54</t>
  </si>
  <si>
    <t>Capacitor 0805, 100 VDC, 3.3 nF, C0G</t>
  </si>
  <si>
    <t>80-C0805C332F1G</t>
  </si>
  <si>
    <t>3.3 nF</t>
  </si>
  <si>
    <t>C17A, C17B, C17C, C19A, C19B, C19C, C20A, C20B, C20C, C22A, C22B, C22C, C23A, C23B, C23C, C24A, C24B, C24C, C57, C58, C59, C60, C66A, C66B, C66C, C67A, C67B, C67C, C68A, C68B, C68C, C69A, C69B, C69C, C72A, C72B, C72C, C73A, C73B, C73C, C80, C80A, C80B, C80C, C81A, C81B, C81C, C82A, C82B, C82C, C83A, C83B, C83C, C84, C99</t>
  </si>
  <si>
    <t>Capacitor 0603, 100 VDC, 0.1 uF, X7S</t>
  </si>
  <si>
    <t>810-C1608X7S2A104K</t>
  </si>
  <si>
    <t>0.1 µF</t>
  </si>
  <si>
    <t>C40, C41, C42, C43, C44, C45, C46, C47, C48, C49</t>
  </si>
  <si>
    <t>13.8x12.5x13.8mm, 100 VDC,  47 µF</t>
  </si>
  <si>
    <t>667-EEV-FK2A470V</t>
  </si>
  <si>
    <t>EEEFK0J332AV</t>
  </si>
  <si>
    <t>47µF</t>
  </si>
  <si>
    <t>C60A, C60B, C60C, C61A, C61B, C61C, C62A, C62B, C62C, C63A, C63B, C63C</t>
  </si>
  <si>
    <t>Capacitor 0805, 50 VDC, 4.7 µF, X7R</t>
  </si>
  <si>
    <t xml:space="preserve">810-C2012X7R475K125C </t>
  </si>
  <si>
    <t>4.7 µF</t>
  </si>
  <si>
    <t>C64A, C64B, C64C, C65A, C65B, C65C</t>
  </si>
  <si>
    <t>Capacitor 0603, 25 VDC, 2.2 uF, X5R</t>
  </si>
  <si>
    <t>810-C1608X5R1E225K</t>
  </si>
  <si>
    <t>2.2 uF</t>
  </si>
  <si>
    <t>C81, C82, C83, C85, C86, C87, C88, C89, C90, C91</t>
  </si>
  <si>
    <t>Capacitor 1210, 100 VDC, 10µF, X7S</t>
  </si>
  <si>
    <t>81-GRM32EC72A106KE05</t>
  </si>
  <si>
    <t>C_1210_N</t>
  </si>
  <si>
    <t>10 µF</t>
  </si>
  <si>
    <t>D1</t>
  </si>
  <si>
    <t>WL-SMCW SMD Mono-color Chip LED Waterclear Blue</t>
  </si>
  <si>
    <t>710-150060BS84000</t>
  </si>
  <si>
    <t xml:space="preserve">3408611 </t>
  </si>
  <si>
    <t>=Manufacturer Part Number</t>
  </si>
  <si>
    <t>WL-SMCW_0603</t>
  </si>
  <si>
    <t>Farnell</t>
  </si>
  <si>
    <t>D2</t>
  </si>
  <si>
    <t>WL-SMCW SMD Mono-color Chip LED Waterclear Green</t>
  </si>
  <si>
    <t>710-150060GS84000</t>
  </si>
  <si>
    <t xml:space="preserve">3408612 </t>
  </si>
  <si>
    <t>D3</t>
  </si>
  <si>
    <t>WL-SMCW SMD Mono-color Chip LED Waterclear Red</t>
  </si>
  <si>
    <t xml:space="preserve">710-150060RS86000 </t>
  </si>
  <si>
    <t xml:space="preserve">3408608 </t>
  </si>
  <si>
    <t>F1, F2, F3</t>
  </si>
  <si>
    <t>POLYSWITCH RESETTABLE DEVICES</t>
  </si>
  <si>
    <t>650-MINIASMDC110F/24</t>
  </si>
  <si>
    <t>MINIASMDC260F162</t>
  </si>
  <si>
    <t>PPTC, 1.1 A, 24V</t>
  </si>
  <si>
    <t>J1, J2</t>
  </si>
  <si>
    <t>CAT5, RJ45 Connector, 1 port SMD</t>
  </si>
  <si>
    <t>710-634008149821</t>
  </si>
  <si>
    <t>634008149821</t>
  </si>
  <si>
    <t>J3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</si>
  <si>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</si>
  <si>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</si>
  <si>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</si>
  <si>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</si>
  <si>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</si>
  <si>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</si>
  <si>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PCB mount 4mm jack, Red FCR7350R, 1000V, 24A</t>
  </si>
  <si>
    <t>J4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</si>
  <si>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</si>
  <si>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</si>
  <si>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</si>
  <si>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</si>
  <si>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</si>
  <si>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J5, J6, 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</si>
  <si>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</si>
  <si>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</si>
  <si>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</si>
  <si>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</si>
  <si>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</si>
  <si>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J8</t>
  </si>
  <si>
    <t>8 Pin</t>
  </si>
  <si>
    <t>571-103741-8</t>
  </si>
  <si>
    <t>Pin Header</t>
  </si>
  <si>
    <t>HDR1X8</t>
  </si>
  <si>
    <t>L1A, L1B, L1C, L2A, L2B, L2C, L3A, L3B, L3C, L4A, L4B, L4C, L5A, L5B, L5C, L6, L7, L8, L9A, L9B, L9C, L10A, L10B, L10C, L12</t>
  </si>
  <si>
    <t>6.8µH, 120mA, 0603, 740mOhm, 20%</t>
  </si>
  <si>
    <t>81-LQM18DN6R8M70L</t>
  </si>
  <si>
    <t>490-LQM18DN6R8M70LCT-ND</t>
  </si>
  <si>
    <t>INDC1608X95N</t>
  </si>
  <si>
    <t>6.8uH</t>
  </si>
  <si>
    <t>PS1A, PS1B, PS1C, PS2A, PS2B, PS2C</t>
  </si>
  <si>
    <t>Isolated, 21.6 -26.4Vin, 12V out, 1W, 84mA out</t>
  </si>
  <si>
    <t>490-PDSE1-S24-S12MTR</t>
  </si>
  <si>
    <t>102-PDSE1-S24-S12-M-TRCT-ND</t>
  </si>
  <si>
    <t>PDSE1S24S12MTR</t>
  </si>
  <si>
    <t>1 W</t>
  </si>
  <si>
    <t>Q1A, Q1B, Q1C, Q2A, Q2B, Q2C</t>
  </si>
  <si>
    <t>Power MOSFET, n-Channel, 97A, 100V</t>
  </si>
  <si>
    <t>726-ISC060N10NM6ATMA</t>
  </si>
  <si>
    <t>235-4869</t>
  </si>
  <si>
    <t>ISC060N10NM6ATMA1</t>
  </si>
  <si>
    <t>RS-online</t>
  </si>
  <si>
    <t>100V, 97A</t>
  </si>
  <si>
    <t>R1, R5, R9</t>
  </si>
  <si>
    <t>SMD resistor E24 series</t>
  </si>
  <si>
    <t>603-RC0603JR-070RL</t>
  </si>
  <si>
    <t>RES 0603_1608</t>
  </si>
  <si>
    <t>0R</t>
  </si>
  <si>
    <t>R10A, R10B, R10C, R50</t>
  </si>
  <si>
    <t>Shunt resistor 2mOhm, 5W, 1%</t>
  </si>
  <si>
    <t>603-PU3921FKMP50R002</t>
  </si>
  <si>
    <t>3921</t>
  </si>
  <si>
    <t>2mR</t>
  </si>
  <si>
    <t>R12A, R12B, R12C, R13A, R13B, R13C, R53, R54, R86A, R86B, R86C, R127</t>
  </si>
  <si>
    <t>SMD resistor 0.1%</t>
  </si>
  <si>
    <t>66-PCFW0603LF031001B</t>
  </si>
  <si>
    <t>1k</t>
  </si>
  <si>
    <t>R14A, R14B, R14C, R15A, R15B, R15C, R55, R56, R95, R97A, R97B, R97C</t>
  </si>
  <si>
    <t>667-ERJ-PB3B2001V</t>
  </si>
  <si>
    <t>2k</t>
  </si>
  <si>
    <t>R19A, R19B, R19C, R20A, R20B, R20C, R25A, R25B, R25C, R26A, R26B, R26C, R57, R58, R67, R68</t>
  </si>
  <si>
    <t>SMD resistor 1%</t>
  </si>
  <si>
    <t>660-RK73H1JTTD49R9F</t>
  </si>
  <si>
    <t>49R9</t>
  </si>
  <si>
    <t>R21A, R21B, R21C, R23A, R23B, R23C, R28A, R28B, R28C, R61, R62, R72, R74, R130A, R130B, R130C</t>
  </si>
  <si>
    <t>SMD resistor 0.1%, 10ppm</t>
  </si>
  <si>
    <t>279-RQ73C1J10KBTD</t>
  </si>
  <si>
    <t>10k</t>
  </si>
  <si>
    <t>R22A, R22B, R22C, R24A, R24B, R24C, R27A, R27B, R27C, R60, R63, R73, R75, R129A, R129B, R129C</t>
  </si>
  <si>
    <t>279-RQ73C1J110KBTD</t>
  </si>
  <si>
    <t>110k</t>
  </si>
  <si>
    <t>R29A, R29B, R29C, R39A, R39B, R39C, R43A, R43B, R43C, R44A, R44B, R44C, R45A, R45B, R45C, R46A, R46B, R46C</t>
  </si>
  <si>
    <t>R30A, R30B, R30C, R38A, R38B, R38C</t>
  </si>
  <si>
    <t>660-RK73B1JTTD203J</t>
  </si>
  <si>
    <t>20k</t>
  </si>
  <si>
    <t>R31A, R31B, R31C, R37A, R37B, R37C</t>
  </si>
  <si>
    <t>SMD resistor 1%, 50V, 100ppm</t>
  </si>
  <si>
    <t>652-CR0603-FX1053ELF</t>
  </si>
  <si>
    <t>105k</t>
  </si>
  <si>
    <t>R32A, R32B, R32C, R36A, R36B, R36C</t>
  </si>
  <si>
    <t>652-CR0603-FX2803ELF</t>
  </si>
  <si>
    <t>280k</t>
  </si>
  <si>
    <t>R33A, R33B, R33C, R40A, R40B, R40C</t>
  </si>
  <si>
    <t xml:space="preserve">667-ERJ-6ENF2873V </t>
  </si>
  <si>
    <t>RES 0805_2012</t>
  </si>
  <si>
    <t>287k</t>
  </si>
  <si>
    <t>R34A, R34B, R34C, R42A, R42B, R42C</t>
  </si>
  <si>
    <t>652-CR0603FX-9763ELF</t>
  </si>
  <si>
    <t>976k</t>
  </si>
  <si>
    <t>R35A, R35B, R35C, R41A, R41B, R41C</t>
  </si>
  <si>
    <t>652-CR0603FX-1823ELF</t>
  </si>
  <si>
    <t>182k</t>
  </si>
  <si>
    <t>R87A, R87B, R87C, R89A, R89B, R89C, R94, R96</t>
  </si>
  <si>
    <t>603-RT0603FRE073K9L</t>
  </si>
  <si>
    <t>3k9</t>
  </si>
  <si>
    <t>TP5, TP6, TP7, TP16, TP17</t>
  </si>
  <si>
    <t>Testpoint 1mm</t>
  </si>
  <si>
    <t>NULL</t>
  </si>
  <si>
    <t>TP_1mm</t>
  </si>
  <si>
    <t>U2A, U2B, U2C, U11</t>
  </si>
  <si>
    <t>Current Sense Amplifier, 300kHz, -0.1V to 65V CMV, 2 Channel</t>
  </si>
  <si>
    <t>700-MAX40056TAUA+</t>
  </si>
  <si>
    <t>SOP65P490X110-8N</t>
  </si>
  <si>
    <t>U3A, U3B, U3C, U4A, U4B, U4C, U10, U12</t>
  </si>
  <si>
    <t>Fully Differential Amplifier, Ultralow-Power,Low Distortion, 260-MHz</t>
  </si>
  <si>
    <t>584-ADA4940-1ARZ</t>
  </si>
  <si>
    <t>505-ADA4940-1ARZ-ND</t>
  </si>
  <si>
    <t>SOT127P600X175-8N</t>
  </si>
  <si>
    <t>U5A, U5B, U5C, U9A, U9B, U9C</t>
  </si>
  <si>
    <t>Board Mount Temperature Sensor, -50 - 150°C</t>
  </si>
  <si>
    <t>926-LM57CISD-10/NOPB</t>
  </si>
  <si>
    <t>LM57CISD-10/NOPBCT-ND</t>
  </si>
  <si>
    <t>SON50P250X250X80-9N</t>
  </si>
  <si>
    <t>U6A, U6B, U6C, U8A, U8B, U8C</t>
  </si>
  <si>
    <t>Switching Controllers PWM with 5% to 100% Pulse Width Control</t>
  </si>
  <si>
    <t>584-6992HS64WTRMPBF</t>
  </si>
  <si>
    <t>SOT95P280X100-6N</t>
  </si>
  <si>
    <t>U7A, U7B, U7C</t>
  </si>
  <si>
    <t>Gate Driver  8A, 1.5 kV, daul channel isolated gate driver</t>
  </si>
  <si>
    <t>726-2EDF7275KXUMA1</t>
  </si>
  <si>
    <t>2EDF7275KXUMA1</t>
  </si>
  <si>
    <t>U13</t>
  </si>
  <si>
    <t>Dual Schmitt Trigger Inverter</t>
  </si>
  <si>
    <t xml:space="preserve">595-SN74LVC2G14DBVR </t>
  </si>
  <si>
    <t>SOT95P280X145-6N</t>
  </si>
  <si>
    <t>X2A, X2B, X2C, X3A, X3B, X3C</t>
  </si>
  <si>
    <t>Pin Header, 2.54mm, 1 Pin</t>
  </si>
  <si>
    <t>571-4-103327-3</t>
  </si>
  <si>
    <t>1_Pin_Header</t>
  </si>
  <si>
    <t>Quantity total</t>
  </si>
  <si>
    <t>PCBs</t>
  </si>
  <si>
    <t xml:space="preserve">660-RK73B1JTTD103J/
603-RC0603FR-1310KL </t>
  </si>
  <si>
    <t>Ist kein Bauteil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</si>
</sst>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0" xfId="1"/>
    <xf numFmtId="0" fontId="0" fillId="0" borderId="1" xfId="0" quotePrefix="1" applyBorder="1" applyAlignment="1">
      <alignment wrapText="1"/>
    </xf>
    <xf numFmtId="0" fontId="2" fillId="4" borderId="0" xfId="2"/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165F-EF47-4213-8A69-3020D0B80ACC}">
  <dimension ref="A1:P46"/>
  <sheetViews>
    <sheetView tabSelected="1" topLeftCell="B19" workbookViewId="0">
      <selection activeCell="G37" sqref="G37"/>
    </sheetView>
  </sheetViews>
  <sheetFormatPr baseColWidth="10" defaultRowHeight="14.5" x14ac:dyDescent="0.35"/>
  <cols>
    <col min="1" max="1" width="100.6328125" customWidth="1"/>
    <col min="2" max="2" width="12.54296875" customWidth="1"/>
    <col min="3" max="3" width="44.08984375" customWidth="1"/>
    <col min="4" max="4" width="9.1796875" customWidth="1"/>
    <col min="5" max="10" width="16.36328125" customWidth="1"/>
    <col min="14" max="14" width="13.54296875" customWidth="1"/>
  </cols>
  <sheetData>
    <row r="1" spans="1:1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N1" s="4" t="s">
        <v>213</v>
      </c>
      <c r="O1" s="4">
        <v>10</v>
      </c>
      <c r="P1" s="4" t="s">
        <v>214</v>
      </c>
    </row>
    <row r="2" spans="1:16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4</v>
      </c>
      <c r="H2" s="2" t="s">
        <v>16</v>
      </c>
      <c r="I2" s="2" t="s">
        <v>13</v>
      </c>
      <c r="J2" s="2" t="s">
        <v>17</v>
      </c>
      <c r="N2" s="5">
        <f>G2*$O$1</f>
        <v>40</v>
      </c>
    </row>
    <row r="3" spans="1:16" x14ac:dyDescent="0.35">
      <c r="A3" s="2" t="s">
        <v>18</v>
      </c>
      <c r="B3" s="2" t="s">
        <v>19</v>
      </c>
      <c r="C3" s="2" t="s">
        <v>20</v>
      </c>
      <c r="D3" s="2" t="s">
        <v>13</v>
      </c>
      <c r="E3" s="2" t="s">
        <v>13</v>
      </c>
      <c r="F3" s="2" t="s">
        <v>15</v>
      </c>
      <c r="G3" s="1">
        <v>16</v>
      </c>
      <c r="H3" s="2" t="s">
        <v>16</v>
      </c>
      <c r="I3" s="2" t="s">
        <v>13</v>
      </c>
      <c r="J3" s="2" t="s">
        <v>21</v>
      </c>
      <c r="N3" s="5">
        <f t="shared" ref="N3:N46" si="0">G3*$O$1</f>
        <v>160</v>
      </c>
    </row>
    <row r="4" spans="1:16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15</v>
      </c>
      <c r="G4" s="1">
        <v>16</v>
      </c>
      <c r="H4" s="2" t="s">
        <v>16</v>
      </c>
      <c r="I4" s="2" t="s">
        <v>26</v>
      </c>
      <c r="J4" s="2" t="s">
        <v>27</v>
      </c>
      <c r="N4" s="5">
        <f t="shared" si="0"/>
        <v>160</v>
      </c>
    </row>
    <row r="5" spans="1:16" x14ac:dyDescent="0.35">
      <c r="A5" s="2" t="s">
        <v>28</v>
      </c>
      <c r="B5" s="2" t="s">
        <v>29</v>
      </c>
      <c r="C5" s="2" t="s">
        <v>30</v>
      </c>
      <c r="D5" s="2" t="s">
        <v>13</v>
      </c>
      <c r="E5" s="2" t="s">
        <v>14</v>
      </c>
      <c r="F5" s="2" t="s">
        <v>31</v>
      </c>
      <c r="G5" s="1">
        <v>4</v>
      </c>
      <c r="H5" s="2" t="s">
        <v>16</v>
      </c>
      <c r="I5" s="2" t="s">
        <v>13</v>
      </c>
      <c r="J5" s="2" t="s">
        <v>32</v>
      </c>
      <c r="N5" s="5">
        <f t="shared" si="0"/>
        <v>40</v>
      </c>
    </row>
    <row r="6" spans="1:16" x14ac:dyDescent="0.35">
      <c r="A6" s="2" t="s">
        <v>33</v>
      </c>
      <c r="B6" s="2" t="s">
        <v>34</v>
      </c>
      <c r="C6" s="2" t="s">
        <v>35</v>
      </c>
      <c r="D6" s="2" t="s">
        <v>13</v>
      </c>
      <c r="E6" s="2" t="s">
        <v>14</v>
      </c>
      <c r="F6" s="2" t="s">
        <v>31</v>
      </c>
      <c r="G6" s="1">
        <v>4</v>
      </c>
      <c r="H6" s="2" t="s">
        <v>16</v>
      </c>
      <c r="I6" s="2" t="s">
        <v>13</v>
      </c>
      <c r="J6" s="2" t="s">
        <v>36</v>
      </c>
      <c r="N6" s="5">
        <f t="shared" si="0"/>
        <v>40</v>
      </c>
    </row>
    <row r="7" spans="1:16" x14ac:dyDescent="0.35">
      <c r="A7" s="2" t="s">
        <v>37</v>
      </c>
      <c r="B7" s="2" t="s">
        <v>38</v>
      </c>
      <c r="C7" s="2" t="s">
        <v>39</v>
      </c>
      <c r="D7" s="2" t="s">
        <v>13</v>
      </c>
      <c r="E7" s="2" t="s">
        <v>14</v>
      </c>
      <c r="F7" s="2" t="s">
        <v>15</v>
      </c>
      <c r="G7" s="1">
        <v>55</v>
      </c>
      <c r="H7" s="2" t="s">
        <v>16</v>
      </c>
      <c r="I7" s="2" t="s">
        <v>13</v>
      </c>
      <c r="J7" s="2" t="s">
        <v>40</v>
      </c>
      <c r="N7" s="5">
        <f t="shared" si="0"/>
        <v>550</v>
      </c>
    </row>
    <row r="8" spans="1:16" x14ac:dyDescent="0.35">
      <c r="A8" s="2" t="s">
        <v>41</v>
      </c>
      <c r="B8" s="2" t="s">
        <v>42</v>
      </c>
      <c r="C8" s="2" t="s">
        <v>43</v>
      </c>
      <c r="D8" s="2" t="s">
        <v>13</v>
      </c>
      <c r="E8" s="2" t="s">
        <v>14</v>
      </c>
      <c r="F8" s="2" t="s">
        <v>44</v>
      </c>
      <c r="G8" s="1">
        <v>10</v>
      </c>
      <c r="H8" s="2" t="s">
        <v>16</v>
      </c>
      <c r="I8" s="2" t="s">
        <v>13</v>
      </c>
      <c r="J8" s="2" t="s">
        <v>45</v>
      </c>
      <c r="N8" s="5">
        <f t="shared" si="0"/>
        <v>100</v>
      </c>
    </row>
    <row r="9" spans="1:16" x14ac:dyDescent="0.35">
      <c r="A9" s="2" t="s">
        <v>46</v>
      </c>
      <c r="B9" s="2" t="s">
        <v>47</v>
      </c>
      <c r="C9" s="2" t="s">
        <v>48</v>
      </c>
      <c r="D9" s="2" t="s">
        <v>13</v>
      </c>
      <c r="E9" s="2" t="s">
        <v>14</v>
      </c>
      <c r="F9" s="2" t="s">
        <v>31</v>
      </c>
      <c r="G9" s="1">
        <v>12</v>
      </c>
      <c r="H9" s="2" t="s">
        <v>16</v>
      </c>
      <c r="I9" s="2" t="s">
        <v>13</v>
      </c>
      <c r="J9" s="2" t="s">
        <v>49</v>
      </c>
      <c r="N9" s="5">
        <f t="shared" si="0"/>
        <v>120</v>
      </c>
    </row>
    <row r="10" spans="1:16" x14ac:dyDescent="0.35">
      <c r="A10" s="2" t="s">
        <v>50</v>
      </c>
      <c r="B10" s="2" t="s">
        <v>51</v>
      </c>
      <c r="C10" s="2" t="s">
        <v>52</v>
      </c>
      <c r="D10" s="2" t="s">
        <v>25</v>
      </c>
      <c r="E10" s="2" t="s">
        <v>14</v>
      </c>
      <c r="F10" s="2" t="s">
        <v>15</v>
      </c>
      <c r="G10" s="1">
        <v>6</v>
      </c>
      <c r="H10" s="2" t="s">
        <v>16</v>
      </c>
      <c r="I10" s="2" t="s">
        <v>26</v>
      </c>
      <c r="J10" s="2" t="s">
        <v>53</v>
      </c>
      <c r="N10" s="5">
        <f t="shared" si="0"/>
        <v>60</v>
      </c>
    </row>
    <row r="11" spans="1:16" x14ac:dyDescent="0.35">
      <c r="A11" s="2" t="s">
        <v>54</v>
      </c>
      <c r="B11" s="2" t="s">
        <v>55</v>
      </c>
      <c r="C11" s="2" t="s">
        <v>56</v>
      </c>
      <c r="D11" s="2" t="s">
        <v>13</v>
      </c>
      <c r="E11" s="2" t="s">
        <v>14</v>
      </c>
      <c r="F11" s="2" t="s">
        <v>57</v>
      </c>
      <c r="G11" s="1">
        <v>10</v>
      </c>
      <c r="H11" s="2" t="s">
        <v>16</v>
      </c>
      <c r="I11" s="2" t="s">
        <v>13</v>
      </c>
      <c r="J11" s="2" t="s">
        <v>58</v>
      </c>
      <c r="N11" s="5">
        <f t="shared" si="0"/>
        <v>100</v>
      </c>
    </row>
    <row r="12" spans="1:16" x14ac:dyDescent="0.3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1">
        <v>1</v>
      </c>
      <c r="H12" s="2" t="s">
        <v>16</v>
      </c>
      <c r="I12" s="2" t="s">
        <v>65</v>
      </c>
      <c r="J12" s="1"/>
      <c r="N12" s="5">
        <f t="shared" si="0"/>
        <v>10</v>
      </c>
    </row>
    <row r="13" spans="1:16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63</v>
      </c>
      <c r="F13" s="2" t="s">
        <v>64</v>
      </c>
      <c r="G13" s="1">
        <v>1</v>
      </c>
      <c r="H13" s="2" t="s">
        <v>16</v>
      </c>
      <c r="I13" s="2" t="s">
        <v>65</v>
      </c>
      <c r="J13" s="1"/>
      <c r="N13" s="5">
        <f t="shared" si="0"/>
        <v>10</v>
      </c>
    </row>
    <row r="14" spans="1:16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63</v>
      </c>
      <c r="F14" s="2" t="s">
        <v>64</v>
      </c>
      <c r="G14" s="1">
        <v>1</v>
      </c>
      <c r="H14" s="2" t="s">
        <v>16</v>
      </c>
      <c r="I14" s="2" t="s">
        <v>65</v>
      </c>
      <c r="J14" s="1"/>
      <c r="N14" s="5">
        <f t="shared" si="0"/>
        <v>10</v>
      </c>
    </row>
    <row r="15" spans="1:16" x14ac:dyDescent="0.35">
      <c r="A15" s="2" t="s">
        <v>74</v>
      </c>
      <c r="B15" s="2" t="s">
        <v>75</v>
      </c>
      <c r="C15" s="2" t="s">
        <v>76</v>
      </c>
      <c r="D15" s="2" t="s">
        <v>13</v>
      </c>
      <c r="E15" s="2" t="s">
        <v>13</v>
      </c>
      <c r="F15" s="2" t="s">
        <v>77</v>
      </c>
      <c r="G15" s="1">
        <v>3</v>
      </c>
      <c r="H15" s="2" t="s">
        <v>16</v>
      </c>
      <c r="I15" s="2" t="s">
        <v>13</v>
      </c>
      <c r="J15" s="2" t="s">
        <v>78</v>
      </c>
      <c r="N15" s="5">
        <f t="shared" si="0"/>
        <v>30</v>
      </c>
    </row>
    <row r="16" spans="1:16" x14ac:dyDescent="0.35">
      <c r="A16" s="2" t="s">
        <v>79</v>
      </c>
      <c r="B16" s="2" t="s">
        <v>80</v>
      </c>
      <c r="C16" s="2" t="s">
        <v>81</v>
      </c>
      <c r="D16" s="2" t="s">
        <v>13</v>
      </c>
      <c r="E16" s="2" t="s">
        <v>63</v>
      </c>
      <c r="F16" s="2" t="s">
        <v>82</v>
      </c>
      <c r="G16" s="1">
        <v>2</v>
      </c>
      <c r="H16" s="2" t="s">
        <v>16</v>
      </c>
      <c r="I16" s="2" t="s">
        <v>13</v>
      </c>
      <c r="J16" s="2" t="s">
        <v>13</v>
      </c>
      <c r="N16" s="5">
        <f t="shared" si="0"/>
        <v>20</v>
      </c>
    </row>
    <row r="17" spans="1:14" x14ac:dyDescent="0.3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1">
        <v>1</v>
      </c>
      <c r="H17" s="2" t="s">
        <v>89</v>
      </c>
      <c r="I17" s="2" t="s">
        <v>65</v>
      </c>
      <c r="J17" s="2" t="s">
        <v>90</v>
      </c>
      <c r="N17" s="5">
        <f t="shared" si="0"/>
        <v>10</v>
      </c>
    </row>
    <row r="18" spans="1:14" x14ac:dyDescent="0.3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88</v>
      </c>
      <c r="G18" s="1">
        <v>1</v>
      </c>
      <c r="H18" s="2" t="s">
        <v>89</v>
      </c>
      <c r="I18" s="2" t="s">
        <v>65</v>
      </c>
      <c r="J18" s="2" t="s">
        <v>96</v>
      </c>
      <c r="N18" s="5">
        <f t="shared" si="0"/>
        <v>10</v>
      </c>
    </row>
    <row r="19" spans="1:14" x14ac:dyDescent="0.3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88</v>
      </c>
      <c r="G19" s="1">
        <v>3</v>
      </c>
      <c r="H19" s="2" t="s">
        <v>89</v>
      </c>
      <c r="I19" s="2" t="s">
        <v>65</v>
      </c>
      <c r="J19" s="2" t="s">
        <v>102</v>
      </c>
      <c r="N19" s="5">
        <f t="shared" si="0"/>
        <v>30</v>
      </c>
    </row>
    <row r="20" spans="1:14" x14ac:dyDescent="0.35">
      <c r="A20" s="2" t="s">
        <v>103</v>
      </c>
      <c r="B20" s="2" t="s">
        <v>104</v>
      </c>
      <c r="C20" s="2" t="s">
        <v>105</v>
      </c>
      <c r="D20" s="1"/>
      <c r="E20" s="2" t="s">
        <v>106</v>
      </c>
      <c r="F20" s="2" t="s">
        <v>107</v>
      </c>
      <c r="G20" s="1">
        <v>1</v>
      </c>
      <c r="H20" s="2" t="s">
        <v>16</v>
      </c>
      <c r="I20" s="1"/>
      <c r="J20" s="1"/>
      <c r="N20" s="5">
        <f t="shared" si="0"/>
        <v>10</v>
      </c>
    </row>
    <row r="21" spans="1:14" x14ac:dyDescent="0.3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63</v>
      </c>
      <c r="F21" s="2" t="s">
        <v>112</v>
      </c>
      <c r="G21" s="1">
        <v>25</v>
      </c>
      <c r="H21" s="2" t="s">
        <v>16</v>
      </c>
      <c r="I21" s="2" t="s">
        <v>89</v>
      </c>
      <c r="J21" s="2" t="s">
        <v>113</v>
      </c>
      <c r="N21" s="5">
        <f t="shared" si="0"/>
        <v>250</v>
      </c>
    </row>
    <row r="22" spans="1:14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63</v>
      </c>
      <c r="F22" s="2" t="s">
        <v>118</v>
      </c>
      <c r="G22" s="1">
        <v>6</v>
      </c>
      <c r="H22" s="2" t="s">
        <v>16</v>
      </c>
      <c r="I22" s="2" t="s">
        <v>89</v>
      </c>
      <c r="J22" s="2" t="s">
        <v>119</v>
      </c>
      <c r="N22" s="5">
        <f t="shared" si="0"/>
        <v>60</v>
      </c>
    </row>
    <row r="23" spans="1:14" x14ac:dyDescent="0.3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63</v>
      </c>
      <c r="F23" s="2" t="s">
        <v>124</v>
      </c>
      <c r="G23" s="1">
        <v>6</v>
      </c>
      <c r="H23" s="2" t="s">
        <v>16</v>
      </c>
      <c r="I23" s="2" t="s">
        <v>125</v>
      </c>
      <c r="J23" s="2" t="s">
        <v>126</v>
      </c>
      <c r="N23" s="5">
        <f t="shared" si="0"/>
        <v>60</v>
      </c>
    </row>
    <row r="24" spans="1:14" x14ac:dyDescent="0.35">
      <c r="A24" s="2" t="s">
        <v>127</v>
      </c>
      <c r="B24" s="2" t="s">
        <v>128</v>
      </c>
      <c r="C24" s="2" t="s">
        <v>129</v>
      </c>
      <c r="D24" s="2" t="s">
        <v>25</v>
      </c>
      <c r="E24" s="2" t="s">
        <v>14</v>
      </c>
      <c r="F24" s="2" t="s">
        <v>130</v>
      </c>
      <c r="G24" s="1">
        <v>3</v>
      </c>
      <c r="H24" s="2" t="s">
        <v>16</v>
      </c>
      <c r="I24" s="2" t="s">
        <v>26</v>
      </c>
      <c r="J24" s="2" t="s">
        <v>131</v>
      </c>
      <c r="N24" s="5">
        <f t="shared" si="0"/>
        <v>30</v>
      </c>
    </row>
    <row r="25" spans="1:14" x14ac:dyDescent="0.35">
      <c r="A25" s="2" t="s">
        <v>132</v>
      </c>
      <c r="B25" s="2" t="s">
        <v>133</v>
      </c>
      <c r="C25" s="2" t="s">
        <v>134</v>
      </c>
      <c r="D25" s="2" t="s">
        <v>13</v>
      </c>
      <c r="E25" s="2" t="s">
        <v>14</v>
      </c>
      <c r="F25" s="2" t="s">
        <v>135</v>
      </c>
      <c r="G25" s="1">
        <v>4</v>
      </c>
      <c r="H25" s="2" t="s">
        <v>16</v>
      </c>
      <c r="I25" s="2" t="s">
        <v>13</v>
      </c>
      <c r="J25" s="2" t="s">
        <v>136</v>
      </c>
      <c r="N25" s="5">
        <f t="shared" si="0"/>
        <v>40</v>
      </c>
    </row>
    <row r="26" spans="1:14" x14ac:dyDescent="0.35">
      <c r="A26" s="2" t="s">
        <v>137</v>
      </c>
      <c r="B26" s="2" t="s">
        <v>138</v>
      </c>
      <c r="C26" s="2" t="s">
        <v>139</v>
      </c>
      <c r="D26" s="2" t="s">
        <v>13</v>
      </c>
      <c r="E26" s="2" t="s">
        <v>14</v>
      </c>
      <c r="F26" s="2" t="s">
        <v>130</v>
      </c>
      <c r="G26" s="1">
        <v>12</v>
      </c>
      <c r="H26" s="2" t="s">
        <v>16</v>
      </c>
      <c r="I26" s="2" t="s">
        <v>13</v>
      </c>
      <c r="J26" s="2" t="s">
        <v>140</v>
      </c>
      <c r="N26" s="5">
        <f t="shared" si="0"/>
        <v>120</v>
      </c>
    </row>
    <row r="27" spans="1:14" x14ac:dyDescent="0.35">
      <c r="A27" s="2" t="s">
        <v>141</v>
      </c>
      <c r="B27" s="2" t="s">
        <v>138</v>
      </c>
      <c r="C27" s="2" t="s">
        <v>142</v>
      </c>
      <c r="D27" s="2" t="s">
        <v>25</v>
      </c>
      <c r="E27" s="2" t="s">
        <v>14</v>
      </c>
      <c r="F27" s="2" t="s">
        <v>130</v>
      </c>
      <c r="G27" s="1">
        <v>12</v>
      </c>
      <c r="H27" s="2" t="s">
        <v>16</v>
      </c>
      <c r="I27" s="2" t="s">
        <v>26</v>
      </c>
      <c r="J27" s="2" t="s">
        <v>143</v>
      </c>
      <c r="N27" s="5">
        <f t="shared" si="0"/>
        <v>120</v>
      </c>
    </row>
    <row r="28" spans="1:14" x14ac:dyDescent="0.35">
      <c r="A28" s="2" t="s">
        <v>144</v>
      </c>
      <c r="B28" s="2" t="s">
        <v>145</v>
      </c>
      <c r="C28" s="2" t="s">
        <v>146</v>
      </c>
      <c r="D28" s="2" t="s">
        <v>25</v>
      </c>
      <c r="E28" s="2" t="s">
        <v>14</v>
      </c>
      <c r="F28" s="2" t="s">
        <v>130</v>
      </c>
      <c r="G28" s="1">
        <v>16</v>
      </c>
      <c r="H28" s="2" t="s">
        <v>16</v>
      </c>
      <c r="I28" s="2" t="s">
        <v>26</v>
      </c>
      <c r="J28" s="2" t="s">
        <v>147</v>
      </c>
      <c r="N28" s="5">
        <f t="shared" si="0"/>
        <v>160</v>
      </c>
    </row>
    <row r="29" spans="1:14" x14ac:dyDescent="0.35">
      <c r="A29" s="2" t="s">
        <v>148</v>
      </c>
      <c r="B29" s="2" t="s">
        <v>149</v>
      </c>
      <c r="C29" s="2" t="s">
        <v>150</v>
      </c>
      <c r="D29" s="2" t="s">
        <v>13</v>
      </c>
      <c r="E29" s="2" t="s">
        <v>14</v>
      </c>
      <c r="F29" s="2" t="s">
        <v>130</v>
      </c>
      <c r="G29" s="1">
        <v>16</v>
      </c>
      <c r="H29" s="2" t="s">
        <v>16</v>
      </c>
      <c r="I29" s="2" t="s">
        <v>13</v>
      </c>
      <c r="J29" s="2" t="s">
        <v>151</v>
      </c>
      <c r="N29" s="5">
        <f t="shared" si="0"/>
        <v>160</v>
      </c>
    </row>
    <row r="30" spans="1:14" x14ac:dyDescent="0.35">
      <c r="A30" s="2" t="s">
        <v>152</v>
      </c>
      <c r="B30" s="2" t="s">
        <v>149</v>
      </c>
      <c r="C30" s="2" t="s">
        <v>153</v>
      </c>
      <c r="D30" s="2" t="s">
        <v>13</v>
      </c>
      <c r="E30" s="2" t="s">
        <v>14</v>
      </c>
      <c r="F30" s="2" t="s">
        <v>130</v>
      </c>
      <c r="G30" s="1">
        <v>16</v>
      </c>
      <c r="H30" s="2" t="s">
        <v>16</v>
      </c>
      <c r="I30" s="2" t="s">
        <v>13</v>
      </c>
      <c r="J30" s="2" t="s">
        <v>154</v>
      </c>
      <c r="N30" s="5">
        <f t="shared" si="0"/>
        <v>160</v>
      </c>
    </row>
    <row r="31" spans="1:14" ht="29" x14ac:dyDescent="0.35">
      <c r="A31" s="2" t="s">
        <v>155</v>
      </c>
      <c r="B31" s="2" t="s">
        <v>128</v>
      </c>
      <c r="C31" s="6" t="s">
        <v>215</v>
      </c>
      <c r="D31" s="2" t="s">
        <v>13</v>
      </c>
      <c r="E31" s="2" t="s">
        <v>14</v>
      </c>
      <c r="F31" s="2" t="s">
        <v>130</v>
      </c>
      <c r="G31" s="1">
        <v>18</v>
      </c>
      <c r="H31" s="2" t="s">
        <v>16</v>
      </c>
      <c r="I31" s="2" t="s">
        <v>13</v>
      </c>
      <c r="J31" s="2" t="s">
        <v>151</v>
      </c>
      <c r="N31" s="5">
        <f t="shared" si="0"/>
        <v>180</v>
      </c>
    </row>
    <row r="32" spans="1:14" x14ac:dyDescent="0.35">
      <c r="A32" s="2" t="s">
        <v>156</v>
      </c>
      <c r="B32" s="2" t="s">
        <v>128</v>
      </c>
      <c r="C32" s="2" t="s">
        <v>157</v>
      </c>
      <c r="D32" s="1"/>
      <c r="E32" s="2" t="s">
        <v>158</v>
      </c>
      <c r="F32" s="2" t="s">
        <v>130</v>
      </c>
      <c r="G32" s="1">
        <v>6</v>
      </c>
      <c r="H32" s="2" t="s">
        <v>16</v>
      </c>
      <c r="I32" s="1"/>
      <c r="J32" s="2" t="s">
        <v>158</v>
      </c>
      <c r="N32" s="5">
        <f t="shared" si="0"/>
        <v>60</v>
      </c>
    </row>
    <row r="33" spans="1:15" x14ac:dyDescent="0.35">
      <c r="A33" s="2" t="s">
        <v>159</v>
      </c>
      <c r="B33" s="2" t="s">
        <v>160</v>
      </c>
      <c r="C33" s="2" t="s">
        <v>161</v>
      </c>
      <c r="D33" s="2" t="s">
        <v>13</v>
      </c>
      <c r="E33" s="2" t="s">
        <v>14</v>
      </c>
      <c r="F33" s="2" t="s">
        <v>130</v>
      </c>
      <c r="G33" s="1">
        <v>6</v>
      </c>
      <c r="H33" s="2" t="s">
        <v>16</v>
      </c>
      <c r="I33" s="2" t="s">
        <v>13</v>
      </c>
      <c r="J33" s="2" t="s">
        <v>162</v>
      </c>
      <c r="N33" s="5">
        <f t="shared" si="0"/>
        <v>60</v>
      </c>
    </row>
    <row r="34" spans="1:15" x14ac:dyDescent="0.35">
      <c r="A34" s="2" t="s">
        <v>163</v>
      </c>
      <c r="B34" s="2" t="s">
        <v>160</v>
      </c>
      <c r="C34" s="2" t="s">
        <v>164</v>
      </c>
      <c r="D34" s="2" t="s">
        <v>13</v>
      </c>
      <c r="E34" s="2" t="s">
        <v>14</v>
      </c>
      <c r="F34" s="2" t="s">
        <v>130</v>
      </c>
      <c r="G34" s="1">
        <v>6</v>
      </c>
      <c r="H34" s="2" t="s">
        <v>16</v>
      </c>
      <c r="I34" s="2" t="s">
        <v>13</v>
      </c>
      <c r="J34" s="2" t="s">
        <v>165</v>
      </c>
      <c r="N34" s="5">
        <f t="shared" si="0"/>
        <v>60</v>
      </c>
    </row>
    <row r="35" spans="1:15" x14ac:dyDescent="0.35">
      <c r="A35" s="2" t="s">
        <v>166</v>
      </c>
      <c r="B35" s="2" t="s">
        <v>145</v>
      </c>
      <c r="C35" s="2" t="s">
        <v>167</v>
      </c>
      <c r="D35" s="2" t="s">
        <v>13</v>
      </c>
      <c r="E35" s="2" t="s">
        <v>14</v>
      </c>
      <c r="F35" s="2" t="s">
        <v>168</v>
      </c>
      <c r="G35" s="1">
        <v>6</v>
      </c>
      <c r="H35" s="2" t="s">
        <v>16</v>
      </c>
      <c r="I35" s="2" t="s">
        <v>13</v>
      </c>
      <c r="J35" s="2" t="s">
        <v>169</v>
      </c>
      <c r="N35" s="5">
        <f t="shared" si="0"/>
        <v>60</v>
      </c>
    </row>
    <row r="36" spans="1:15" x14ac:dyDescent="0.35">
      <c r="A36" s="2" t="s">
        <v>170</v>
      </c>
      <c r="B36" s="2" t="s">
        <v>160</v>
      </c>
      <c r="C36" s="2" t="s">
        <v>171</v>
      </c>
      <c r="D36" s="2" t="s">
        <v>13</v>
      </c>
      <c r="E36" s="2" t="s">
        <v>14</v>
      </c>
      <c r="F36" s="2" t="s">
        <v>130</v>
      </c>
      <c r="G36" s="1">
        <v>6</v>
      </c>
      <c r="H36" s="2" t="s">
        <v>16</v>
      </c>
      <c r="I36" s="2" t="s">
        <v>13</v>
      </c>
      <c r="J36" s="2" t="s">
        <v>172</v>
      </c>
      <c r="N36" s="5">
        <f t="shared" si="0"/>
        <v>60</v>
      </c>
    </row>
    <row r="37" spans="1:15" x14ac:dyDescent="0.35">
      <c r="A37" s="2" t="s">
        <v>173</v>
      </c>
      <c r="B37" s="2" t="s">
        <v>160</v>
      </c>
      <c r="C37" s="2" t="s">
        <v>174</v>
      </c>
      <c r="D37" s="2" t="s">
        <v>13</v>
      </c>
      <c r="E37" s="2" t="s">
        <v>14</v>
      </c>
      <c r="F37" s="2" t="s">
        <v>130</v>
      </c>
      <c r="G37" s="1">
        <v>6</v>
      </c>
      <c r="H37" s="2" t="s">
        <v>16</v>
      </c>
      <c r="I37" s="2" t="s">
        <v>13</v>
      </c>
      <c r="J37" s="2" t="s">
        <v>175</v>
      </c>
      <c r="N37" s="5">
        <f t="shared" si="0"/>
        <v>60</v>
      </c>
    </row>
    <row r="38" spans="1:15" x14ac:dyDescent="0.35">
      <c r="A38" s="2" t="s">
        <v>176</v>
      </c>
      <c r="B38" s="2" t="s">
        <v>128</v>
      </c>
      <c r="C38" s="2" t="s">
        <v>177</v>
      </c>
      <c r="D38" s="2" t="s">
        <v>13</v>
      </c>
      <c r="E38" s="2" t="s">
        <v>14</v>
      </c>
      <c r="F38" s="2" t="s">
        <v>130</v>
      </c>
      <c r="G38" s="1">
        <v>8</v>
      </c>
      <c r="H38" s="2" t="s">
        <v>16</v>
      </c>
      <c r="I38" s="2" t="s">
        <v>13</v>
      </c>
      <c r="J38" s="2" t="s">
        <v>178</v>
      </c>
      <c r="N38" s="5">
        <f t="shared" si="0"/>
        <v>80</v>
      </c>
    </row>
    <row r="39" spans="1:15" x14ac:dyDescent="0.35">
      <c r="A39" s="2" t="s">
        <v>179</v>
      </c>
      <c r="B39" s="2" t="s">
        <v>180</v>
      </c>
      <c r="C39" s="2" t="s">
        <v>181</v>
      </c>
      <c r="D39" s="2" t="s">
        <v>13</v>
      </c>
      <c r="E39" s="2" t="s">
        <v>14</v>
      </c>
      <c r="F39" s="2" t="s">
        <v>182</v>
      </c>
      <c r="G39" s="1">
        <v>5</v>
      </c>
      <c r="H39" s="2" t="s">
        <v>181</v>
      </c>
      <c r="I39" s="2" t="s">
        <v>13</v>
      </c>
      <c r="J39" s="2" t="s">
        <v>180</v>
      </c>
      <c r="N39" s="7">
        <f t="shared" si="0"/>
        <v>50</v>
      </c>
      <c r="O39" s="7" t="s">
        <v>216</v>
      </c>
    </row>
    <row r="40" spans="1:15" x14ac:dyDescent="0.35">
      <c r="A40" s="2" t="s">
        <v>183</v>
      </c>
      <c r="B40" s="2" t="s">
        <v>184</v>
      </c>
      <c r="C40" s="2" t="s">
        <v>185</v>
      </c>
      <c r="D40" s="2" t="s">
        <v>13</v>
      </c>
      <c r="E40" s="2" t="s">
        <v>13</v>
      </c>
      <c r="F40" s="2" t="s">
        <v>186</v>
      </c>
      <c r="G40" s="1">
        <v>4</v>
      </c>
      <c r="H40" s="2" t="s">
        <v>16</v>
      </c>
      <c r="I40" s="2" t="s">
        <v>13</v>
      </c>
      <c r="J40" s="2" t="s">
        <v>13</v>
      </c>
      <c r="N40" s="5">
        <f t="shared" si="0"/>
        <v>40</v>
      </c>
    </row>
    <row r="41" spans="1:15" x14ac:dyDescent="0.35">
      <c r="A41" s="2" t="s">
        <v>187</v>
      </c>
      <c r="B41" s="2" t="s">
        <v>188</v>
      </c>
      <c r="C41" s="2" t="s">
        <v>189</v>
      </c>
      <c r="D41" s="2" t="s">
        <v>190</v>
      </c>
      <c r="E41" s="2" t="s">
        <v>63</v>
      </c>
      <c r="F41" s="2" t="s">
        <v>191</v>
      </c>
      <c r="G41" s="1">
        <v>8</v>
      </c>
      <c r="H41" s="2" t="s">
        <v>16</v>
      </c>
      <c r="I41" s="2" t="s">
        <v>89</v>
      </c>
      <c r="J41" s="2" t="s">
        <v>13</v>
      </c>
      <c r="N41" s="5">
        <f t="shared" si="0"/>
        <v>80</v>
      </c>
    </row>
    <row r="42" spans="1:15" x14ac:dyDescent="0.35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63</v>
      </c>
      <c r="F42" s="2" t="s">
        <v>196</v>
      </c>
      <c r="G42" s="1">
        <v>6</v>
      </c>
      <c r="H42" s="2" t="s">
        <v>16</v>
      </c>
      <c r="I42" s="2" t="s">
        <v>89</v>
      </c>
      <c r="J42" s="2" t="s">
        <v>13</v>
      </c>
      <c r="N42" s="5">
        <f t="shared" si="0"/>
        <v>60</v>
      </c>
    </row>
    <row r="43" spans="1:15" x14ac:dyDescent="0.35">
      <c r="A43" s="2" t="s">
        <v>197</v>
      </c>
      <c r="B43" s="2" t="s">
        <v>198</v>
      </c>
      <c r="C43" s="2" t="s">
        <v>199</v>
      </c>
      <c r="D43" s="2" t="s">
        <v>13</v>
      </c>
      <c r="E43" s="2" t="s">
        <v>63</v>
      </c>
      <c r="F43" s="2" t="s">
        <v>200</v>
      </c>
      <c r="G43" s="1">
        <v>6</v>
      </c>
      <c r="H43" s="2" t="s">
        <v>16</v>
      </c>
      <c r="I43" s="2" t="s">
        <v>13</v>
      </c>
      <c r="J43" s="2" t="s">
        <v>13</v>
      </c>
      <c r="N43" s="5">
        <f t="shared" si="0"/>
        <v>60</v>
      </c>
    </row>
    <row r="44" spans="1:15" x14ac:dyDescent="0.35">
      <c r="A44" s="2" t="s">
        <v>201</v>
      </c>
      <c r="B44" s="2" t="s">
        <v>202</v>
      </c>
      <c r="C44" s="2" t="s">
        <v>203</v>
      </c>
      <c r="D44" s="2" t="s">
        <v>13</v>
      </c>
      <c r="E44" s="2" t="s">
        <v>63</v>
      </c>
      <c r="F44" s="2" t="s">
        <v>204</v>
      </c>
      <c r="G44" s="1">
        <v>3</v>
      </c>
      <c r="H44" s="2" t="s">
        <v>16</v>
      </c>
      <c r="I44" s="2" t="s">
        <v>13</v>
      </c>
      <c r="J44" s="2" t="s">
        <v>13</v>
      </c>
      <c r="N44" s="5">
        <f t="shared" si="0"/>
        <v>30</v>
      </c>
    </row>
    <row r="45" spans="1:15" x14ac:dyDescent="0.35">
      <c r="A45" s="2" t="s">
        <v>205</v>
      </c>
      <c r="B45" s="2" t="s">
        <v>206</v>
      </c>
      <c r="C45" s="2" t="s">
        <v>207</v>
      </c>
      <c r="D45" s="1"/>
      <c r="E45" s="2" t="s">
        <v>63</v>
      </c>
      <c r="F45" s="2" t="s">
        <v>208</v>
      </c>
      <c r="G45" s="1">
        <v>1</v>
      </c>
      <c r="H45" s="2" t="s">
        <v>16</v>
      </c>
      <c r="I45" s="1"/>
      <c r="J45" s="1"/>
      <c r="N45" s="5">
        <f t="shared" si="0"/>
        <v>10</v>
      </c>
    </row>
    <row r="46" spans="1:15" x14ac:dyDescent="0.35">
      <c r="A46" s="2" t="s">
        <v>209</v>
      </c>
      <c r="B46" s="2" t="s">
        <v>210</v>
      </c>
      <c r="C46" s="2" t="s">
        <v>211</v>
      </c>
      <c r="D46" s="2" t="s">
        <v>13</v>
      </c>
      <c r="E46" s="2" t="s">
        <v>63</v>
      </c>
      <c r="F46" s="2" t="s">
        <v>212</v>
      </c>
      <c r="G46" s="1">
        <v>6</v>
      </c>
      <c r="H46" s="2" t="s">
        <v>16</v>
      </c>
      <c r="I46" s="2" t="s">
        <v>13</v>
      </c>
      <c r="J46" s="2" t="s">
        <v>13</v>
      </c>
      <c r="N46" s="5">
        <f t="shared" si="0"/>
        <v>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UZ_D_Inverter_Variation</vt:lpstr>
      <vt:lpstr>UZ_D_Inverter_Variation!Drucktitel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2023-03-21T09:44:15Z</dcterms:created>
  <dcterms:modified xsi:type="dcterms:W3CDTF">2023-04-04T07:50:51Z</dcterms:modified>
</cp:coreProperties>
</file>