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GIT\UltraZohm\software\ultrazohm_sw_develop\ip_cores\uz_d_inverter_adapter\temperature_calculation\"/>
    </mc:Choice>
  </mc:AlternateContent>
  <xr:revisionPtr revIDLastSave="0" documentId="13_ncr:1_{692140FB-626B-4011-9A27-7879064C163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B24" i="1"/>
  <c r="C19" i="1"/>
  <c r="C20" i="1"/>
  <c r="C21" i="1"/>
  <c r="C22" i="1"/>
  <c r="C23" i="1"/>
  <c r="C18" i="1"/>
  <c r="D19" i="1"/>
  <c r="D20" i="1"/>
  <c r="D21" i="1"/>
  <c r="D22" i="1"/>
  <c r="D23" i="1"/>
  <c r="D18" i="1"/>
  <c r="B19" i="1"/>
  <c r="B20" i="1"/>
  <c r="B21" i="1"/>
  <c r="B22" i="1"/>
  <c r="B23" i="1"/>
  <c r="B18" i="1"/>
</calcChain>
</file>

<file path=xl/sharedStrings.xml><?xml version="1.0" encoding="utf-8"?>
<sst xmlns="http://schemas.openxmlformats.org/spreadsheetml/2006/main" count="16" uniqueCount="16">
  <si>
    <t>UZ_D_inverter with LM57CISD-10/NOPB as temperature probe</t>
  </si>
  <si>
    <t>VTEMP in V</t>
  </si>
  <si>
    <t>Temperature in °C</t>
  </si>
  <si>
    <t>With circuitry on this specific PCB we use Transfer Gain J4</t>
  </si>
  <si>
    <t>Some selected vlaues from the datasheet Table1</t>
  </si>
  <si>
    <t>The analog voltage signal is further tranformed into a PWM dutycycle information</t>
  </si>
  <si>
    <t>This is done by LTC6992HS6-4</t>
  </si>
  <si>
    <t>This IC can provide 5% to 100% dutycycle at 0..1V input voltage</t>
  </si>
  <si>
    <t>INPUT</t>
  </si>
  <si>
    <t>OUTPUT</t>
  </si>
  <si>
    <t>dutycyc</t>
  </si>
  <si>
    <t>MOD in V (VTEMP wrt voltage divider)</t>
  </si>
  <si>
    <t>voltage divider between VTEMP and MOD is 20k 10k</t>
  </si>
  <si>
    <t>TEMP (from above)</t>
  </si>
  <si>
    <t>duty cycle is linear between 10% and 90% (0,1V and 0,9V)</t>
  </si>
  <si>
    <t>Temperature at LM57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</si>
</sst>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Tabelle1!$D$17</c:f>
              <c:strCache>
                <c:ptCount val="1"/>
                <c:pt idx="0">
                  <c:v>Temperature at LM57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191249083958733E-2"/>
                  <c:y val="-0.462848193310213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Tabelle1!$C$18:$C$24</c:f>
              <c:numCache>
                <c:formatCode>0.00</c:formatCode>
                <c:ptCount val="7"/>
                <c:pt idx="0">
                  <c:v>0.90173333333333328</c:v>
                </c:pt>
                <c:pt idx="1">
                  <c:v>0.73407000000000011</c:v>
                </c:pt>
                <c:pt idx="2">
                  <c:v>0.66581999999999997</c:v>
                </c:pt>
                <c:pt idx="3">
                  <c:v>0.56218000000000001</c:v>
                </c:pt>
                <c:pt idx="4">
                  <c:v>0.45702333333333328</c:v>
                </c:pt>
                <c:pt idx="5">
                  <c:v>0.3682266666666667</c:v>
                </c:pt>
                <c:pt idx="6">
                  <c:v>0.3144433333333333</c:v>
                </c:pt>
              </c:numCache>
            </c:numRef>
          </c:xVal>
          <c:yVal>
            <c:numRef>
              <c:f>Tabelle1!$D$18:$D$24</c:f>
              <c:numCache>
                <c:formatCode>General</c:formatCode>
                <c:ptCount val="7"/>
                <c:pt idx="0">
                  <c:v>-50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  <c:pt idx="4">
                  <c:v>80</c:v>
                </c:pt>
                <c:pt idx="5">
                  <c:v>105</c:v>
                </c:pt>
                <c:pt idx="6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0-4630-B64B-256BD035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7520"/>
        <c:axId val="167997912"/>
      </c:scatterChart>
      <c:valAx>
        <c:axId val="1679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Duty Cycle Normalized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97912"/>
        <c:crosses val="autoZero"/>
        <c:crossBetween val="midCat"/>
      </c:valAx>
      <c:valAx>
        <c:axId val="16799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Temperature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9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724692</xdr:colOff>
      <xdr:row>25</xdr:row>
      <xdr:rowOff>50004</xdr:rowOff>
    </xdr:from>
    <xdr:to>
      <xdr:col>3</xdr:col>
      <xdr:colOff>638175</xdr:colOff>
      <xdr:row>45</xdr:row>
      <xdr:rowOff>50799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590009</xdr:colOff>
      <xdr:row>0</xdr:row>
      <xdr:rowOff>120866</xdr:rowOff>
    </xdr:from>
    <xdr:to>
      <xdr:col>6</xdr:col>
      <xdr:colOff>597682</xdr:colOff>
      <xdr:row>12</xdr:row>
      <xdr:rowOff>9526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4B7DE62-254D-604E-FFF5-6BD6CECE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1709" y="120866"/>
          <a:ext cx="2293673" cy="20603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13</xdr:col>
      <xdr:colOff>387605</xdr:colOff>
      <xdr:row>29</xdr:row>
      <xdr:rowOff>73280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C2C6C2D-C940-012D-95EB-A5E7AC6C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050" y="361950"/>
          <a:ext cx="4959605" cy="495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23" sqref="G23"/>
    </sheetView>
  </sheetViews>
  <sheetFormatPr baseColWidth="10" defaultRowHeight="14.5" x14ac:dyDescent="0.35"/>
  <cols>
    <col min="1" max="1" width="54.08984375" bestFit="1" customWidth="1"/>
    <col min="2" max="2" width="33.36328125" bestFit="1" customWidth="1"/>
  </cols>
  <sheetData>
    <row r="1" spans="1:4" x14ac:dyDescent="0.35">
      <c r="A1" t="s">
        <v>0</v>
      </c>
    </row>
    <row r="3" spans="1:4" x14ac:dyDescent="0.35">
      <c r="A3" t="s">
        <v>3</v>
      </c>
      <c r="B3" t="s">
        <v>2</v>
      </c>
      <c r="C3" t="s">
        <v>1</v>
      </c>
    </row>
    <row r="4" spans="1:4" x14ac:dyDescent="0.35">
      <c r="A4" t="s">
        <v>4</v>
      </c>
      <c r="B4">
        <v>-50</v>
      </c>
      <c r="C4" s="2">
        <v>2.7052</v>
      </c>
    </row>
    <row r="5" spans="1:4" x14ac:dyDescent="0.35">
      <c r="B5">
        <v>0</v>
      </c>
      <c r="C5" s="2">
        <v>2.20221</v>
      </c>
    </row>
    <row r="6" spans="1:4" x14ac:dyDescent="0.35">
      <c r="B6">
        <v>20</v>
      </c>
      <c r="C6" s="2">
        <v>1.99746</v>
      </c>
    </row>
    <row r="7" spans="1:4" x14ac:dyDescent="0.35">
      <c r="B7">
        <v>50</v>
      </c>
      <c r="C7" s="2">
        <v>1.6865399999999999</v>
      </c>
    </row>
    <row r="8" spans="1:4" x14ac:dyDescent="0.35">
      <c r="B8">
        <v>80</v>
      </c>
      <c r="C8" s="2">
        <v>1.37107</v>
      </c>
    </row>
    <row r="9" spans="1:4" x14ac:dyDescent="0.35">
      <c r="B9">
        <v>105</v>
      </c>
      <c r="C9" s="2">
        <v>1.1046800000000001</v>
      </c>
    </row>
    <row r="10" spans="1:4" x14ac:dyDescent="0.35">
      <c r="B10">
        <v>120</v>
      </c>
      <c r="C10" s="2">
        <v>0.94333</v>
      </c>
    </row>
    <row r="11" spans="1:4" x14ac:dyDescent="0.35">
      <c r="C11" s="2"/>
    </row>
    <row r="12" spans="1:4" x14ac:dyDescent="0.35">
      <c r="C12" s="2"/>
    </row>
    <row r="13" spans="1:4" x14ac:dyDescent="0.35">
      <c r="A13" t="s">
        <v>5</v>
      </c>
    </row>
    <row r="14" spans="1:4" x14ac:dyDescent="0.35">
      <c r="A14" t="s">
        <v>6</v>
      </c>
    </row>
    <row r="15" spans="1:4" x14ac:dyDescent="0.35">
      <c r="A15" t="s">
        <v>7</v>
      </c>
    </row>
    <row r="16" spans="1:4" x14ac:dyDescent="0.35">
      <c r="B16" t="s">
        <v>8</v>
      </c>
      <c r="C16" t="s">
        <v>9</v>
      </c>
      <c r="D16" t="s">
        <v>13</v>
      </c>
    </row>
    <row r="17" spans="1:4" x14ac:dyDescent="0.35">
      <c r="A17" t="s">
        <v>12</v>
      </c>
      <c r="B17" t="s">
        <v>11</v>
      </c>
      <c r="C17" t="s">
        <v>10</v>
      </c>
      <c r="D17" t="s">
        <v>15</v>
      </c>
    </row>
    <row r="18" spans="1:4" x14ac:dyDescent="0.35">
      <c r="A18" t="s">
        <v>14</v>
      </c>
      <c r="B18" s="2">
        <f>C4*10/(10+20)</f>
        <v>0.90173333333333328</v>
      </c>
      <c r="C18" s="1">
        <f>B18</f>
        <v>0.90173333333333328</v>
      </c>
      <c r="D18">
        <f>B4</f>
        <v>-50</v>
      </c>
    </row>
    <row r="19" spans="1:4" x14ac:dyDescent="0.35">
      <c r="B19" s="2">
        <f t="shared" ref="B19:B24" si="0">C5*10/(10+20)</f>
        <v>0.73407000000000011</v>
      </c>
      <c r="C19" s="1">
        <f t="shared" ref="C19:C24" si="1">B19</f>
        <v>0.73407000000000011</v>
      </c>
      <c r="D19">
        <f t="shared" ref="D19:D24" si="2">B5</f>
        <v>0</v>
      </c>
    </row>
    <row r="20" spans="1:4" x14ac:dyDescent="0.35">
      <c r="B20" s="2">
        <f t="shared" si="0"/>
        <v>0.66581999999999997</v>
      </c>
      <c r="C20" s="1">
        <f t="shared" si="1"/>
        <v>0.66581999999999997</v>
      </c>
      <c r="D20">
        <f t="shared" si="2"/>
        <v>20</v>
      </c>
    </row>
    <row r="21" spans="1:4" x14ac:dyDescent="0.35">
      <c r="B21" s="2">
        <f t="shared" si="0"/>
        <v>0.56218000000000001</v>
      </c>
      <c r="C21" s="1">
        <f t="shared" si="1"/>
        <v>0.56218000000000001</v>
      </c>
      <c r="D21">
        <f t="shared" si="2"/>
        <v>50</v>
      </c>
    </row>
    <row r="22" spans="1:4" x14ac:dyDescent="0.35">
      <c r="B22" s="2">
        <f t="shared" si="0"/>
        <v>0.45702333333333328</v>
      </c>
      <c r="C22" s="1">
        <f t="shared" si="1"/>
        <v>0.45702333333333328</v>
      </c>
      <c r="D22">
        <f t="shared" si="2"/>
        <v>80</v>
      </c>
    </row>
    <row r="23" spans="1:4" x14ac:dyDescent="0.35">
      <c r="B23" s="2">
        <f t="shared" si="0"/>
        <v>0.3682266666666667</v>
      </c>
      <c r="C23" s="1">
        <f t="shared" si="1"/>
        <v>0.3682266666666667</v>
      </c>
      <c r="D23">
        <f t="shared" si="2"/>
        <v>105</v>
      </c>
    </row>
    <row r="24" spans="1:4" x14ac:dyDescent="0.35">
      <c r="B24" s="2">
        <f t="shared" si="0"/>
        <v>0.3144433333333333</v>
      </c>
      <c r="C24" s="1">
        <f t="shared" si="1"/>
        <v>0.3144433333333333</v>
      </c>
      <c r="D24">
        <f t="shared" si="2"/>
        <v>120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2021-08-24T09:27:53Z</dcterms:created>
  <dcterms:modified xsi:type="dcterms:W3CDTF">2022-11-18T10:31:01Z</dcterms:modified>
</cp:coreProperties>
</file>